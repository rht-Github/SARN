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ardo.huerta\Documents\melateRetro\AnalisisJugadas\"/>
    </mc:Choice>
  </mc:AlternateContent>
  <xr:revisionPtr revIDLastSave="0" documentId="13_ncr:1_{606A29C1-BCCA-4BF3-8B01-67AE583ED7C2}" xr6:coauthVersionLast="47" xr6:coauthVersionMax="47" xr10:uidLastSave="{00000000-0000-0000-0000-000000000000}"/>
  <bookViews>
    <workbookView xWindow="20370" yWindow="-120" windowWidth="29040" windowHeight="15840" firstSheet="2" activeTab="4" xr2:uid="{00000000-000D-0000-FFFF-FFFF00000000}"/>
  </bookViews>
  <sheets>
    <sheet name="Template" sheetId="1" state="hidden" r:id="rId1"/>
    <sheet name="Insert Stmts" sheetId="2" state="hidden" r:id="rId2"/>
    <sheet name="MR Gigaloterias" sheetId="5" r:id="rId3"/>
    <sheet name="MR Insert Stmts" sheetId="6" r:id="rId4"/>
    <sheet name="LT Pattern History" sheetId="14" r:id="rId5"/>
    <sheet name="TodoJunto" sheetId="11" state="hidden" r:id="rId6"/>
    <sheet name="GL Terminacion LT por BType" sheetId="13" r:id="rId7"/>
    <sheet name="Chispazo Resultados" sheetId="7" state="hidden" r:id="rId8"/>
  </sheets>
  <definedNames>
    <definedName name="_xlnm._FilterDatabase" localSheetId="2" hidden="1">'MR Gigaloterias'!$A$1:$I$96</definedName>
    <definedName name="_xlnm._FilterDatabase" localSheetId="0" hidden="1">Template!$A$1:$J$101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0" i="14" l="1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A95" i="6" l="1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H13" i="7" l="1"/>
  <c r="H12" i="7"/>
  <c r="H11" i="7"/>
  <c r="H10" i="7"/>
  <c r="H9" i="7"/>
  <c r="H8" i="7"/>
  <c r="H7" i="7"/>
  <c r="H6" i="7" l="1"/>
  <c r="H5" i="7"/>
  <c r="H4" i="7" l="1"/>
  <c r="H3" i="7"/>
  <c r="H2" i="7"/>
  <c r="A2" i="6"/>
  <c r="B16" i="1" l="1"/>
  <c r="A16" i="2" s="1"/>
  <c r="B15" i="1"/>
  <c r="A15" i="2" s="1"/>
  <c r="B14" i="1"/>
  <c r="A14" i="2" s="1"/>
  <c r="B13" i="1"/>
  <c r="A13" i="2" s="1"/>
  <c r="B12" i="1"/>
  <c r="A12" i="2" s="1"/>
  <c r="B101" i="1"/>
  <c r="A101" i="2" s="1"/>
  <c r="B100" i="1"/>
  <c r="A100" i="2" s="1"/>
  <c r="B99" i="1"/>
  <c r="A99" i="2" s="1"/>
  <c r="B98" i="1"/>
  <c r="A98" i="2" s="1"/>
  <c r="B97" i="1"/>
  <c r="A97" i="2" s="1"/>
  <c r="B96" i="1"/>
  <c r="A96" i="2" s="1"/>
  <c r="B95" i="1"/>
  <c r="A95" i="2" s="1"/>
  <c r="B94" i="1"/>
  <c r="A94" i="2" s="1"/>
  <c r="B93" i="1"/>
  <c r="A93" i="2" s="1"/>
  <c r="B92" i="1"/>
  <c r="A92" i="2" s="1"/>
  <c r="B91" i="1"/>
  <c r="A91" i="2" s="1"/>
  <c r="B90" i="1"/>
  <c r="A90" i="2" s="1"/>
  <c r="B89" i="1"/>
  <c r="A89" i="2" s="1"/>
  <c r="B88" i="1"/>
  <c r="A88" i="2" s="1"/>
  <c r="B87" i="1"/>
  <c r="A87" i="2" s="1"/>
  <c r="B86" i="1"/>
  <c r="A86" i="2" s="1"/>
  <c r="B85" i="1"/>
  <c r="A85" i="2" s="1"/>
  <c r="B84" i="1"/>
  <c r="A84" i="2" s="1"/>
  <c r="B83" i="1"/>
  <c r="A83" i="2" s="1"/>
  <c r="B82" i="1"/>
  <c r="A82" i="2" s="1"/>
  <c r="B81" i="1"/>
  <c r="A81" i="2" s="1"/>
  <c r="B80" i="1"/>
  <c r="A80" i="2" s="1"/>
  <c r="B79" i="1"/>
  <c r="A79" i="2" s="1"/>
  <c r="B78" i="1"/>
  <c r="A78" i="2" s="1"/>
  <c r="B77" i="1"/>
  <c r="A77" i="2" s="1"/>
  <c r="B76" i="1"/>
  <c r="A76" i="2" s="1"/>
  <c r="B75" i="1"/>
  <c r="A75" i="2" s="1"/>
  <c r="B74" i="1"/>
  <c r="A74" i="2" s="1"/>
  <c r="B73" i="1"/>
  <c r="A73" i="2" s="1"/>
  <c r="B72" i="1"/>
  <c r="A72" i="2" s="1"/>
  <c r="B71" i="1"/>
  <c r="A71" i="2" s="1"/>
  <c r="B70" i="1"/>
  <c r="A70" i="2" s="1"/>
  <c r="B69" i="1"/>
  <c r="A69" i="2" s="1"/>
  <c r="B68" i="1"/>
  <c r="A68" i="2" s="1"/>
  <c r="B67" i="1"/>
  <c r="A67" i="2" s="1"/>
  <c r="B66" i="1"/>
  <c r="A66" i="2" s="1"/>
  <c r="B65" i="1"/>
  <c r="A65" i="2" s="1"/>
  <c r="B64" i="1"/>
  <c r="A64" i="2" s="1"/>
  <c r="B63" i="1"/>
  <c r="A63" i="2" s="1"/>
  <c r="B62" i="1"/>
  <c r="A62" i="2" s="1"/>
  <c r="B61" i="1"/>
  <c r="A61" i="2" s="1"/>
  <c r="B60" i="1"/>
  <c r="A60" i="2" s="1"/>
  <c r="B59" i="1"/>
  <c r="A59" i="2" s="1"/>
  <c r="B58" i="1"/>
  <c r="A58" i="2" s="1"/>
  <c r="B57" i="1"/>
  <c r="A57" i="2" s="1"/>
  <c r="B56" i="1"/>
  <c r="A56" i="2" s="1"/>
  <c r="B55" i="1"/>
  <c r="A55" i="2" s="1"/>
  <c r="B54" i="1"/>
  <c r="A54" i="2" s="1"/>
  <c r="B53" i="1"/>
  <c r="A53" i="2" s="1"/>
  <c r="B52" i="1"/>
  <c r="A52" i="2" s="1"/>
  <c r="B51" i="1"/>
  <c r="A51" i="2" s="1"/>
  <c r="B50" i="1"/>
  <c r="A50" i="2" s="1"/>
  <c r="B49" i="1"/>
  <c r="A49" i="2" s="1"/>
  <c r="B48" i="1"/>
  <c r="A48" i="2" s="1"/>
  <c r="B47" i="1"/>
  <c r="A47" i="2" s="1"/>
  <c r="B46" i="1"/>
  <c r="A46" i="2" s="1"/>
  <c r="B45" i="1"/>
  <c r="A45" i="2" s="1"/>
  <c r="B44" i="1"/>
  <c r="A44" i="2" s="1"/>
  <c r="B43" i="1"/>
  <c r="A43" i="2" s="1"/>
  <c r="B42" i="1"/>
  <c r="A42" i="2" s="1"/>
  <c r="B41" i="1"/>
  <c r="A41" i="2" s="1"/>
  <c r="B40" i="1"/>
  <c r="A40" i="2" s="1"/>
  <c r="B39" i="1"/>
  <c r="A39" i="2" s="1"/>
  <c r="B38" i="1"/>
  <c r="A38" i="2" s="1"/>
  <c r="B37" i="1"/>
  <c r="A37" i="2" s="1"/>
  <c r="B36" i="1"/>
  <c r="A36" i="2" s="1"/>
  <c r="B35" i="1"/>
  <c r="A35" i="2" s="1"/>
  <c r="B34" i="1"/>
  <c r="A34" i="2" s="1"/>
  <c r="B33" i="1"/>
  <c r="A33" i="2" s="1"/>
  <c r="B32" i="1"/>
  <c r="A32" i="2" s="1"/>
  <c r="B31" i="1"/>
  <c r="A31" i="2" s="1"/>
  <c r="B30" i="1"/>
  <c r="A30" i="2" s="1"/>
  <c r="B29" i="1"/>
  <c r="A29" i="2" s="1"/>
  <c r="B28" i="1"/>
  <c r="A28" i="2" s="1"/>
  <c r="B27" i="1"/>
  <c r="A27" i="2" s="1"/>
  <c r="B26" i="1"/>
  <c r="A26" i="2" s="1"/>
  <c r="B25" i="1"/>
  <c r="A25" i="2" s="1"/>
  <c r="B24" i="1"/>
  <c r="A24" i="2" s="1"/>
  <c r="B23" i="1"/>
  <c r="A23" i="2" s="1"/>
  <c r="B22" i="1"/>
  <c r="A22" i="2" s="1"/>
  <c r="B21" i="1"/>
  <c r="A21" i="2" s="1"/>
  <c r="B20" i="1"/>
  <c r="A20" i="2" s="1"/>
  <c r="B19" i="1"/>
  <c r="A19" i="2" s="1"/>
  <c r="B18" i="1"/>
  <c r="A18" i="2" s="1"/>
  <c r="B17" i="1"/>
  <c r="A17" i="2" s="1"/>
  <c r="B11" i="1"/>
  <c r="A11" i="2" s="1"/>
  <c r="B10" i="1"/>
  <c r="A10" i="2" s="1"/>
  <c r="B9" i="1"/>
  <c r="A9" i="2" s="1"/>
  <c r="B8" i="1"/>
  <c r="A8" i="2" s="1"/>
  <c r="B7" i="1"/>
  <c r="A7" i="2" s="1"/>
  <c r="B6" i="1"/>
  <c r="A6" i="2" s="1"/>
  <c r="B5" i="1"/>
  <c r="A5" i="2" s="1"/>
  <c r="B4" i="1"/>
  <c r="A4" i="2" s="1"/>
  <c r="B3" i="1"/>
  <c r="A3" i="2" s="1"/>
  <c r="B2" i="1"/>
  <c r="A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Huerta</author>
  </authors>
  <commentList>
    <comment ref="A1" authorId="0" shapeId="0" xr:uid="{2E07A66C-2E86-44A1-895E-F35889586395}">
      <text>
        <r>
          <rPr>
            <b/>
            <sz val="9"/>
            <color indexed="81"/>
            <rFont val="Tahoma"/>
            <family val="2"/>
          </rPr>
          <t>Ricardo Huerta:</t>
        </r>
        <r>
          <rPr>
            <sz val="9"/>
            <color indexed="81"/>
            <rFont val="Tahoma"/>
            <family val="2"/>
          </rPr>
          <t xml:space="preserve">
Agregar el ID del siguiente sorteo. Ej, Si se asigna el 1031, en GL se buscaran los resultados del 1032</t>
        </r>
      </text>
    </comment>
    <comment ref="C1" authorId="0" shapeId="0" xr:uid="{79474927-A083-4A3E-BB98-7ADBFE8B9EE4}">
      <text>
        <r>
          <rPr>
            <b/>
            <sz val="9"/>
            <color indexed="81"/>
            <rFont val="Tahoma"/>
            <family val="2"/>
          </rPr>
          <t>Melate Retro:</t>
        </r>
        <r>
          <rPr>
            <sz val="9"/>
            <color indexed="81"/>
            <rFont val="Tahoma"/>
            <family val="2"/>
          </rPr>
          <t xml:space="preserve">
Agregar los resultados del siguiente sorteo. Ej, Si se asigna el 1031, en GL se buscaran los resultados del 1032</t>
        </r>
      </text>
    </comment>
    <comment ref="D1" authorId="0" shapeId="0" xr:uid="{6F4BD501-5AE7-41A8-80C5-314AABE2AE0C}">
      <text>
        <r>
          <rPr>
            <b/>
            <sz val="9"/>
            <color indexed="81"/>
            <rFont val="Tahoma"/>
            <family val="2"/>
          </rPr>
          <t>Frecuencia:</t>
        </r>
        <r>
          <rPr>
            <sz val="9"/>
            <color indexed="81"/>
            <rFont val="Tahoma"/>
            <family val="2"/>
          </rPr>
          <t xml:space="preserve">
1: Rojo
2: Verde
3: Azul</t>
        </r>
      </text>
    </comment>
    <comment ref="E1" authorId="0" shapeId="0" xr:uid="{995B847B-77DB-42EB-9095-E8CBC80D36D8}">
      <text>
        <r>
          <rPr>
            <b/>
            <sz val="9"/>
            <color indexed="81"/>
            <rFont val="Tahoma"/>
            <family val="2"/>
          </rPr>
          <t>Frecuencia:</t>
        </r>
        <r>
          <rPr>
            <sz val="9"/>
            <color indexed="81"/>
            <rFont val="Tahoma"/>
            <family val="2"/>
          </rPr>
          <t xml:space="preserve">
Agregar el valor de cada digito por grupo</t>
        </r>
      </text>
    </comment>
    <comment ref="F1" authorId="0" shapeId="0" xr:uid="{552F7440-0315-42E3-970F-7216ADAD96FA}">
      <text>
        <r>
          <rPr>
            <b/>
            <sz val="9"/>
            <color indexed="81"/>
            <rFont val="Tahoma"/>
            <family val="2"/>
          </rPr>
          <t>Ley del Tercio:</t>
        </r>
        <r>
          <rPr>
            <sz val="9"/>
            <color indexed="81"/>
            <rFont val="Tahoma"/>
            <family val="2"/>
          </rPr>
          <t xml:space="preserve">
Agregar el valor de cada digito por grupo</t>
        </r>
      </text>
    </comment>
    <comment ref="G1" authorId="0" shapeId="0" xr:uid="{6FAEECDC-2F3A-4ACF-8D4C-B08940D28031}">
      <text>
        <r>
          <rPr>
            <b/>
            <sz val="9"/>
            <color indexed="81"/>
            <rFont val="Tahoma"/>
            <family val="2"/>
          </rPr>
          <t>Ciclo de Aparicion:</t>
        </r>
        <r>
          <rPr>
            <sz val="9"/>
            <color indexed="81"/>
            <rFont val="Tahoma"/>
            <family val="2"/>
          </rPr>
          <t xml:space="preserve">
Agregar el valor de cada digito por grupo</t>
        </r>
      </text>
    </comment>
    <comment ref="H1" authorId="0" shapeId="0" xr:uid="{E8B6FE00-10F8-47CC-BB3A-EDA44756012F}">
      <text>
        <r>
          <rPr>
            <b/>
            <sz val="9"/>
            <color indexed="81"/>
            <rFont val="Tahoma"/>
            <family val="2"/>
          </rPr>
          <t>Pronostico por Ciclo:</t>
        </r>
        <r>
          <rPr>
            <sz val="9"/>
            <color indexed="81"/>
            <rFont val="Tahoma"/>
            <family val="2"/>
          </rPr>
          <t xml:space="preserve">
Agregar el valor de cada digito por grupo</t>
        </r>
      </text>
    </comment>
    <comment ref="I1" authorId="0" shapeId="0" xr:uid="{BA562127-4B11-41E1-B2D9-D59BA4AA64B0}">
      <text>
        <r>
          <rPr>
            <b/>
            <sz val="9"/>
            <color indexed="81"/>
            <rFont val="Tahoma"/>
            <family val="2"/>
          </rPr>
          <t>Fx:</t>
        </r>
        <r>
          <rPr>
            <sz val="9"/>
            <color indexed="81"/>
            <rFont val="Tahoma"/>
            <family val="2"/>
          </rPr>
          <t xml:space="preserve">
Agregar un X en cada digito resaltado por grupo</t>
        </r>
      </text>
    </comment>
    <comment ref="J1" authorId="0" shapeId="0" xr:uid="{FB6D38A7-B5A3-4237-A283-C898790AF839}">
      <text>
        <r>
          <rPr>
            <b/>
            <sz val="9"/>
            <color indexed="81"/>
            <rFont val="Tahoma"/>
            <family val="2"/>
          </rPr>
          <t>Fx:</t>
        </r>
        <r>
          <rPr>
            <sz val="9"/>
            <color indexed="81"/>
            <rFont val="Tahoma"/>
            <family val="2"/>
          </rPr>
          <t xml:space="preserve">
Agregar la posicion de cada digito por grupo</t>
        </r>
      </text>
    </comment>
  </commentList>
</comments>
</file>

<file path=xl/sharedStrings.xml><?xml version="1.0" encoding="utf-8"?>
<sst xmlns="http://schemas.openxmlformats.org/spreadsheetml/2006/main" count="891" uniqueCount="159">
  <si>
    <t>mrtr</t>
  </si>
  <si>
    <t>B1</t>
  </si>
  <si>
    <t>B2</t>
  </si>
  <si>
    <t>B3</t>
  </si>
  <si>
    <t>B4</t>
  </si>
  <si>
    <t>B5</t>
  </si>
  <si>
    <t>B6</t>
  </si>
  <si>
    <t>TYPE</t>
  </si>
  <si>
    <t>ID</t>
  </si>
  <si>
    <t>DIGIT</t>
  </si>
  <si>
    <t>COL_UBI</t>
  </si>
  <si>
    <t>UBI</t>
  </si>
  <si>
    <t>CA</t>
  </si>
  <si>
    <t>PRONOS</t>
  </si>
  <si>
    <t>LT</t>
  </si>
  <si>
    <t>PREF</t>
  </si>
  <si>
    <t>X</t>
  </si>
  <si>
    <t>INSERT INTO OLAP_SYS.S_CALCULO_STATS (DRAWING_TYPE,DRAWING_ID,B_TYPE,DIGIT,COLOR_UBICACION,UBICACION,LEY_TERCIO,CICLO_APARICION,PRONOS_CICLO,PREFERENCIA_FLAG) VALUES('</t>
  </si>
  <si>
    <t>INSERT INTO OLAP_SYS.CHISPAZO_RESULTADOS (FECHA_SORTEO,R1,R2,R3,R4,R5) VALUES (</t>
  </si>
  <si>
    <t>FECHA_SORTEO</t>
  </si>
  <si>
    <t>R1</t>
  </si>
  <si>
    <t>R2</t>
  </si>
  <si>
    <t>R3</t>
  </si>
  <si>
    <t>R4</t>
  </si>
  <si>
    <t>R5</t>
  </si>
  <si>
    <t>SORTEO_NO</t>
  </si>
  <si>
    <t>COMMIT;</t>
  </si>
  <si>
    <t>Criterios de Juego</t>
  </si>
  <si>
    <t>Id</t>
  </si>
  <si>
    <t>Descripcion</t>
  </si>
  <si>
    <t>Decenas. D1=1-9, D4=20=29, D6=30-39</t>
  </si>
  <si>
    <t>2 Primos, 3 Pares, 1 Non</t>
  </si>
  <si>
    <t>2 Primos, 2 Pares, 2 Non</t>
  </si>
  <si>
    <t xml:space="preserve">Ley del Tercio Log. Altas, Medias </t>
  </si>
  <si>
    <t>Ley del Tercio. Jugar patrones faltantes</t>
  </si>
  <si>
    <t>Tablas Involucradas</t>
  </si>
  <si>
    <t>s_gl_ley_tercio_patterns</t>
  </si>
  <si>
    <t>s_calculo_stats</t>
  </si>
  <si>
    <t>sl_gamblings</t>
  </si>
  <si>
    <t>w_combination_responses_fs</t>
  </si>
  <si>
    <t>pm_parejas_primos</t>
  </si>
  <si>
    <t>pm_panorama</t>
  </si>
  <si>
    <t>pm_mr_decenasL3</t>
  </si>
  <si>
    <t>pm_mr_resultados_v</t>
  </si>
  <si>
    <t>Nombre de Tabla</t>
  </si>
  <si>
    <t>Proposito</t>
  </si>
  <si>
    <t>Almacena todas la combinaciones de la ley del tercio y lleva el conteo de los match de cada sorteo y el ultimo ID del sorteo que actualizo la tabla.</t>
  </si>
  <si>
    <t>Almacena el historico de los resultados de Giga Loterias</t>
  </si>
  <si>
    <t>Almacena el historico de resultados de Melate Retro</t>
  </si>
  <si>
    <t>Almacena todas la combinaciones posibles del sorteo Melate Retro ademas de clasificaciones basadas en videos de PM</t>
  </si>
  <si>
    <t>Almacena las parejas de numeros primos y sus estadisticas. Basada en el archivo de PM Tabla Compuestos 17-10</t>
  </si>
  <si>
    <t>Almacena combinaciones de 4 posiciones de pares y nones. Es el complemento del uso de la table pm_parejas_primos</t>
  </si>
  <si>
    <t>Tareas a Realizar</t>
  </si>
  <si>
    <t>Actualizar datos histoticos en tablas</t>
  </si>
  <si>
    <t>Agrupar queries</t>
  </si>
  <si>
    <t>Actualziar Spread Sheet</t>
  </si>
  <si>
    <t>Consultar Historicos</t>
  </si>
  <si>
    <t>Armar juagadas</t>
  </si>
  <si>
    <t>Actualizar queries para cada grupo</t>
  </si>
  <si>
    <t>Revisar datos y armar plan de creacion de criterios de juego</t>
  </si>
  <si>
    <t>Actualizar el template de armado de jugadas</t>
  </si>
  <si>
    <t>Agregar al spread sheet el drill down de patron del ley del tercio</t>
  </si>
  <si>
    <t>Actualizar datos del spread sheet</t>
  </si>
  <si>
    <t>PM_MR_RESULTADOS_SUMMARY_V1</t>
  </si>
  <si>
    <t>Mostrar informacion historica de los resultados y usado para actualizar spread sheet PM_Patterns_RHT_MACROS. Tab: MELATE RETRO</t>
  </si>
  <si>
    <t>DECENASL1</t>
  </si>
  <si>
    <t>DECENASL2</t>
  </si>
  <si>
    <t>DECENASL3</t>
  </si>
  <si>
    <t>DECENAS_NUMEROS_PRIMOS</t>
  </si>
  <si>
    <t>MELATE RETRO</t>
  </si>
  <si>
    <t>Panorama</t>
  </si>
  <si>
    <t>Terminaciones</t>
  </si>
  <si>
    <t>Agregar columna promedio_ciclo</t>
  </si>
  <si>
    <t>s_ley_tercio_range_logs</t>
  </si>
  <si>
    <t>Esta tabla deberia hacer merge con la tabla s_gl_ley_tercio_patterns</t>
  </si>
  <si>
    <t>pm_decenas_numeros_primos</t>
  </si>
  <si>
    <t>Almacena informacion de decenas y numeros primos ustilizada para actualizar spread sheet PM_Patterns_RHT_MACROS. Tab: DECENAS_NUMEROS_PRIMOS</t>
  </si>
  <si>
    <t>RANGO</t>
  </si>
  <si>
    <t>Status</t>
  </si>
  <si>
    <t>Done</t>
  </si>
  <si>
    <t>OLAP_SYS.S_TERMINACIONES</t>
  </si>
  <si>
    <t>revisado</t>
  </si>
  <si>
    <t>INSERT INTO OLAP_SYS.S_CALCULO_STATS (DRAWING_TYPE,DRAWING_ID,B_TYPE,DIGIT,COLOR_UBICACION,UBICACION,LEY_TERCIO,CICLO_APARICION,PRONOS_CICLO,PREFERENCIA_FLAG,RANGO_LEY_TERCIO) VALUES('mrtr',</t>
  </si>
  <si>
    <t>POS1</t>
  </si>
  <si>
    <t>POS2</t>
  </si>
  <si>
    <t>POS3</t>
  </si>
  <si>
    <t>POS4</t>
  </si>
  <si>
    <t>POS5</t>
  </si>
  <si>
    <t>POS6</t>
  </si>
  <si>
    <t>DRAWING_ID</t>
  </si>
  <si>
    <t>B_TYPE</t>
  </si>
  <si>
    <t>LT DEFAULT VALUE</t>
  </si>
  <si>
    <t>La siguiente tabla muestra los valores por default que se aplican en la macro cuando se llena el tab de MR Gigaloterias</t>
  </si>
  <si>
    <t>INSERT INTO OLAP_SYS.GL_LT_PATTERN_HISTORY (GAMBLING_DATE,POS1,POS2,POS3,POS4,POS5,POS6,ADJUSTMENT_DATE_INI,ADJUSTMENT_DATE_END,GAMBLING_ID) VALUES (TO_DATE('</t>
  </si>
  <si>
    <t>AÑO</t>
  </si>
  <si>
    <t>CONTADOR</t>
  </si>
  <si>
    <t>14%|43%|29%</t>
  </si>
  <si>
    <t>14%|29%|43%</t>
  </si>
  <si>
    <t>29%|29%|29%</t>
  </si>
  <si>
    <t>14%|57%|29%</t>
  </si>
  <si>
    <t>57%|14%|14%</t>
  </si>
  <si>
    <t>1|3|2=6</t>
  </si>
  <si>
    <t>1|2|3=6</t>
  </si>
  <si>
    <t>2|2|2=6</t>
  </si>
  <si>
    <t>1|4|2=7</t>
  </si>
  <si>
    <t>4|1|1=6</t>
  </si>
  <si>
    <t>FECHA</t>
  </si>
  <si>
    <t>AUTOAJUSTE1</t>
  </si>
  <si>
    <t>AUTOAJUSTE2</t>
  </si>
  <si>
    <t>SORTEO</t>
  </si>
  <si>
    <t>#</t>
  </si>
  <si>
    <t>10/08/2021</t>
  </si>
  <si>
    <t>23/07/2022</t>
  </si>
  <si>
    <t>B</t>
  </si>
  <si>
    <t>G</t>
  </si>
  <si>
    <t>R</t>
  </si>
  <si>
    <t>07/05/2024</t>
  </si>
  <si>
    <t>09/03/2024</t>
  </si>
  <si>
    <t>30/04/2024</t>
  </si>
  <si>
    <t>20/02/2024</t>
  </si>
  <si>
    <t>26/09/2023</t>
  </si>
  <si>
    <t>16/04/2024</t>
  </si>
  <si>
    <t>19/08/2023</t>
  </si>
  <si>
    <t>2024</t>
  </si>
  <si>
    <t>09/04/2024</t>
  </si>
  <si>
    <t>30/01/2024</t>
  </si>
  <si>
    <t>03/10/2023</t>
  </si>
  <si>
    <t>15/07/2023</t>
  </si>
  <si>
    <t>06/06/2023</t>
  </si>
  <si>
    <t>19/03/2024</t>
  </si>
  <si>
    <t>02/03/2024</t>
  </si>
  <si>
    <t>26/12/2023</t>
  </si>
  <si>
    <t>24/02/2024</t>
  </si>
  <si>
    <t>30/12/2023</t>
  </si>
  <si>
    <t>09/12/2023</t>
  </si>
  <si>
    <t>18/11/2023</t>
  </si>
  <si>
    <t>03/02/2024</t>
  </si>
  <si>
    <t>31/10/2023</t>
  </si>
  <si>
    <t>28/10/2023</t>
  </si>
  <si>
    <t>17/06/2023</t>
  </si>
  <si>
    <t>27/01/2024</t>
  </si>
  <si>
    <t>06/01/2024</t>
  </si>
  <si>
    <t>24/10/2023</t>
  </si>
  <si>
    <t>21/10/2023</t>
  </si>
  <si>
    <t>25/07/2023</t>
  </si>
  <si>
    <t>10/06/2023</t>
  </si>
  <si>
    <t>23/01/2024</t>
  </si>
  <si>
    <t>29/08/2023</t>
  </si>
  <si>
    <t>05/12/2023</t>
  </si>
  <si>
    <t>04/07/2023</t>
  </si>
  <si>
    <t>11/05/2024</t>
  </si>
  <si>
    <t>16/12/2023</t>
  </si>
  <si>
    <t>12/08/2023</t>
  </si>
  <si>
    <t>13/01/2024</t>
  </si>
  <si>
    <t>14/15/2024</t>
  </si>
  <si>
    <t>09/09/2023</t>
  </si>
  <si>
    <t>02/12/2023</t>
  </si>
  <si>
    <t>14/05/2024</t>
  </si>
  <si>
    <t>03/06/2023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</si>
</sst>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trike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rgb="FF404041"/>
      <name val="Montserrat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43">
    <xf numFmtId="0" fontId="0" fillId="0" borderId="0" xfId="0"/>
    <xf numFmtId="0" fontId="0" fillId="0" borderId="1" xfId="0" applyBorder="1"/>
    <xf numFmtId="0" fontId="1" fillId="2" borderId="0" xfId="0" applyFont="1" applyFill="1"/>
    <xf numFmtId="0" fontId="0" fillId="0" borderId="2" xfId="0" applyBorder="1"/>
    <xf numFmtId="0" fontId="2" fillId="0" borderId="1" xfId="0" applyFont="1" applyBorder="1" applyAlignment="1">
      <alignment horizontal="right"/>
    </xf>
    <xf numFmtId="49" fontId="0" fillId="0" borderId="0" xfId="0" applyNumberFormat="1"/>
    <xf numFmtId="0" fontId="3" fillId="3" borderId="1" xfId="0" applyFont="1" applyFill="1" applyBorder="1" applyAlignment="1">
      <alignment horizontal="right" vertical="center" wrapText="1"/>
    </xf>
    <xf numFmtId="49" fontId="0" fillId="0" borderId="1" xfId="0" applyNumberFormat="1" applyBorder="1"/>
    <xf numFmtId="0" fontId="0" fillId="0" borderId="2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0" fontId="4" fillId="0" borderId="0" xfId="0" applyFont="1"/>
    <xf numFmtId="0" fontId="0" fillId="0" borderId="0" xfId="0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0" xfId="0" applyFill="1"/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14" fontId="7" fillId="3" borderId="3" xfId="0" applyNumberFormat="1" applyFont="1" applyFill="1" applyBorder="1" applyAlignment="1">
      <alignment vertical="top" wrapText="1"/>
    </xf>
    <xf numFmtId="0" fontId="7" fillId="14" borderId="3" xfId="0" applyFont="1" applyFill="1" applyBorder="1" applyAlignment="1">
      <alignment vertical="top" wrapText="1"/>
    </xf>
    <xf numFmtId="0" fontId="7" fillId="13" borderId="0" xfId="0" applyFont="1" applyFill="1" applyAlignment="1">
      <alignment vertical="top" wrapText="1"/>
    </xf>
    <xf numFmtId="0" fontId="7" fillId="13" borderId="3" xfId="0" applyFont="1" applyFill="1" applyBorder="1" applyAlignment="1">
      <alignment vertical="top" wrapText="1"/>
    </xf>
    <xf numFmtId="0" fontId="0" fillId="0" borderId="0" xfId="0" applyAlignment="1">
      <alignment horizontal="center" wrapText="1" shrinkToFit="1"/>
    </xf>
    <xf numFmtId="49" fontId="0" fillId="0" borderId="0" xfId="0" applyNumberFormat="1" applyAlignment="1">
      <alignment horizontal="center"/>
    </xf>
    <xf numFmtId="0" fontId="9" fillId="15" borderId="7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15" borderId="8" xfId="0" applyFont="1" applyFill="1" applyBorder="1" applyAlignment="1">
      <alignment horizontal="center"/>
    </xf>
    <xf numFmtId="9" fontId="10" fillId="16" borderId="9" xfId="1" applyFont="1" applyFill="1" applyBorder="1" applyAlignment="1">
      <alignment horizontal="center" vertical="top"/>
    </xf>
    <xf numFmtId="49" fontId="0" fillId="0" borderId="0" xfId="0" applyNumberFormat="1" applyAlignment="1">
      <alignment horizontal="right"/>
    </xf>
    <xf numFmtId="0" fontId="11" fillId="0" borderId="10" xfId="0" applyFont="1" applyBorder="1" applyAlignment="1">
      <alignment horizontal="center" vertical="top"/>
    </xf>
    <xf numFmtId="0" fontId="9" fillId="15" borderId="5" xfId="0" applyFont="1" applyFill="1" applyBorder="1" applyAlignment="1">
      <alignment horizontal="center"/>
    </xf>
    <xf numFmtId="0" fontId="9" fillId="15" borderId="4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49" fontId="0" fillId="0" borderId="1" xfId="0" applyNumberFormat="1" applyBorder="1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10">
    <dxf>
      <fill>
        <gradientFill degree="45">
          <stop position="0">
            <color theme="2"/>
          </stop>
          <stop position="0.5">
            <color rgb="FFEFF795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</dxfs>
  <tableStyles count="0" defaultTableStyle="TableStyleMedium2" defaultPivotStyle="PivotStyleLight16"/>
  <colors>
    <mruColors>
      <color rgb="FFE1EE34"/>
      <color rgb="FFFFFF66"/>
      <color rgb="FFFFFF00"/>
      <color rgb="FFFFFF99"/>
      <color rgb="FFFF7373"/>
      <color rgb="FF77D5A2"/>
      <color rgb="FF5EA5D7"/>
      <color rgb="FF72AFDB"/>
      <color rgb="FF78D4A2"/>
      <color rgb="FFF6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0</xdr:rowOff>
        </xdr:from>
        <xdr:to>
          <xdr:col>12</xdr:col>
          <xdr:colOff>600075</xdr:colOff>
          <xdr:row>1</xdr:row>
          <xdr:rowOff>161925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CM171"/>
  <sheetViews>
    <sheetView workbookViewId="0">
      <pane ySplit="1" topLeftCell="A2" activePane="bottomLeft" state="frozen"/>
      <selection pane="bottomLeft" activeCell="J93" sqref="J93"/>
    </sheetView>
  </sheetViews>
  <sheetFormatPr defaultColWidth="11.42578125" defaultRowHeight="15" x14ac:dyDescent="0.25"/>
  <cols>
    <col min="2" max="2" width="11.42578125" customWidth="1"/>
    <col min="7" max="7" width="12" bestFit="1" customWidth="1"/>
    <col min="10" max="10" width="7.5703125" bestFit="1" customWidth="1"/>
    <col min="91" max="91" width="12" bestFit="1" customWidth="1"/>
  </cols>
  <sheetData>
    <row r="1" spans="1:91" x14ac:dyDescent="0.25">
      <c r="A1" s="1" t="s">
        <v>7</v>
      </c>
      <c r="B1" s="1" t="s">
        <v>8</v>
      </c>
      <c r="C1" s="1" t="s">
        <v>7</v>
      </c>
      <c r="D1" s="1" t="s">
        <v>9</v>
      </c>
      <c r="E1" s="1" t="s">
        <v>10</v>
      </c>
      <c r="F1" s="1" t="s">
        <v>11</v>
      </c>
      <c r="G1" s="1" t="s">
        <v>14</v>
      </c>
      <c r="H1" s="1" t="s">
        <v>12</v>
      </c>
      <c r="I1" s="1" t="s">
        <v>13</v>
      </c>
      <c r="J1" s="1" t="s">
        <v>15</v>
      </c>
      <c r="K1">
        <v>932</v>
      </c>
      <c r="CM1">
        <v>1</v>
      </c>
    </row>
    <row r="2" spans="1:91" hidden="1" x14ac:dyDescent="0.25">
      <c r="A2" s="1" t="s">
        <v>0</v>
      </c>
      <c r="B2" s="1">
        <f>$K$1</f>
        <v>932</v>
      </c>
      <c r="C2" s="1" t="s">
        <v>1</v>
      </c>
      <c r="D2" s="1">
        <v>2</v>
      </c>
      <c r="E2" s="1">
        <v>1</v>
      </c>
      <c r="F2" s="1">
        <v>19</v>
      </c>
      <c r="G2" s="1">
        <v>2</v>
      </c>
      <c r="H2" s="1">
        <v>4</v>
      </c>
      <c r="I2" s="1"/>
      <c r="J2" s="1"/>
    </row>
    <row r="3" spans="1:91" hidden="1" x14ac:dyDescent="0.25">
      <c r="A3" s="1" t="s">
        <v>0</v>
      </c>
      <c r="B3" s="1">
        <f t="shared" ref="B3:B71" si="0">$K$1</f>
        <v>932</v>
      </c>
      <c r="C3" s="1" t="s">
        <v>1</v>
      </c>
      <c r="D3" s="1">
        <v>1</v>
      </c>
      <c r="E3" s="1">
        <v>1</v>
      </c>
      <c r="F3" s="1">
        <v>13</v>
      </c>
      <c r="G3" s="1">
        <v>0</v>
      </c>
      <c r="H3" s="1">
        <v>6</v>
      </c>
      <c r="I3" s="1">
        <v>6</v>
      </c>
      <c r="J3" s="1" t="s">
        <v>16</v>
      </c>
    </row>
    <row r="4" spans="1:91" hidden="1" x14ac:dyDescent="0.25">
      <c r="A4" s="1" t="s">
        <v>0</v>
      </c>
      <c r="B4" s="1">
        <f t="shared" si="0"/>
        <v>932</v>
      </c>
      <c r="C4" s="1" t="s">
        <v>1</v>
      </c>
      <c r="D4" s="1">
        <v>6</v>
      </c>
      <c r="E4" s="1">
        <v>1</v>
      </c>
      <c r="F4" s="1">
        <v>9</v>
      </c>
      <c r="G4" s="1">
        <v>0</v>
      </c>
      <c r="H4" s="1">
        <v>9</v>
      </c>
      <c r="I4" s="1">
        <v>9</v>
      </c>
      <c r="J4" s="1" t="s">
        <v>16</v>
      </c>
    </row>
    <row r="5" spans="1:91" hidden="1" x14ac:dyDescent="0.25">
      <c r="A5" s="1" t="s">
        <v>0</v>
      </c>
      <c r="B5" s="1">
        <f t="shared" si="0"/>
        <v>932</v>
      </c>
      <c r="C5" s="1" t="s">
        <v>1</v>
      </c>
      <c r="D5" s="1">
        <v>4</v>
      </c>
      <c r="E5" s="1">
        <v>2</v>
      </c>
      <c r="F5" s="1">
        <v>9</v>
      </c>
      <c r="G5" s="1">
        <v>3</v>
      </c>
      <c r="H5" s="1">
        <v>10</v>
      </c>
      <c r="I5" s="1"/>
      <c r="J5" s="1"/>
    </row>
    <row r="6" spans="1:91" hidden="1" x14ac:dyDescent="0.25">
      <c r="A6" s="1" t="s">
        <v>0</v>
      </c>
      <c r="B6" s="1">
        <f t="shared" si="0"/>
        <v>932</v>
      </c>
      <c r="C6" s="1" t="s">
        <v>1</v>
      </c>
      <c r="D6" s="1">
        <v>9</v>
      </c>
      <c r="E6" s="1">
        <v>2</v>
      </c>
      <c r="F6" s="1">
        <v>8</v>
      </c>
      <c r="G6" s="1">
        <v>2</v>
      </c>
      <c r="H6" s="1">
        <v>8</v>
      </c>
      <c r="I6" s="1"/>
      <c r="J6" s="1"/>
    </row>
    <row r="7" spans="1:91" hidden="1" x14ac:dyDescent="0.25">
      <c r="A7" s="1" t="s">
        <v>0</v>
      </c>
      <c r="B7" s="1">
        <f t="shared" si="0"/>
        <v>932</v>
      </c>
      <c r="C7" s="1" t="s">
        <v>1</v>
      </c>
      <c r="D7" s="1">
        <v>3</v>
      </c>
      <c r="E7" s="1">
        <v>2</v>
      </c>
      <c r="F7" s="1">
        <v>8</v>
      </c>
      <c r="G7" s="1">
        <v>0</v>
      </c>
      <c r="H7" s="1">
        <v>12</v>
      </c>
      <c r="I7" s="1">
        <v>12</v>
      </c>
      <c r="J7" s="1"/>
    </row>
    <row r="8" spans="1:91" hidden="1" x14ac:dyDescent="0.25">
      <c r="A8" s="1" t="s">
        <v>0</v>
      </c>
      <c r="B8" s="1">
        <f t="shared" si="0"/>
        <v>932</v>
      </c>
      <c r="C8" s="1" t="s">
        <v>1</v>
      </c>
      <c r="D8" s="1">
        <v>7</v>
      </c>
      <c r="E8" s="1">
        <v>3</v>
      </c>
      <c r="F8" s="1">
        <v>7</v>
      </c>
      <c r="G8" s="1">
        <v>0</v>
      </c>
      <c r="H8" s="1">
        <v>13</v>
      </c>
      <c r="I8" s="1">
        <v>13</v>
      </c>
      <c r="J8" s="1"/>
    </row>
    <row r="9" spans="1:91" hidden="1" x14ac:dyDescent="0.25">
      <c r="A9" s="1" t="s">
        <v>0</v>
      </c>
      <c r="B9" s="1">
        <f t="shared" si="0"/>
        <v>932</v>
      </c>
      <c r="C9" s="1" t="s">
        <v>1</v>
      </c>
      <c r="D9" s="1">
        <v>8</v>
      </c>
      <c r="E9" s="1">
        <v>3</v>
      </c>
      <c r="F9" s="1">
        <v>6</v>
      </c>
      <c r="G9" s="1">
        <v>0</v>
      </c>
      <c r="H9" s="1">
        <v>14</v>
      </c>
      <c r="I9" s="1">
        <v>14</v>
      </c>
      <c r="J9" s="1"/>
    </row>
    <row r="10" spans="1:91" hidden="1" x14ac:dyDescent="0.25">
      <c r="A10" s="1" t="s">
        <v>0</v>
      </c>
      <c r="B10" s="1">
        <f t="shared" si="0"/>
        <v>932</v>
      </c>
      <c r="C10" s="1" t="s">
        <v>1</v>
      </c>
      <c r="D10" s="1">
        <v>10</v>
      </c>
      <c r="E10" s="1">
        <v>3</v>
      </c>
      <c r="F10" s="1">
        <v>5</v>
      </c>
      <c r="G10" s="1">
        <v>1</v>
      </c>
      <c r="H10" s="1">
        <v>12</v>
      </c>
      <c r="I10" s="1"/>
      <c r="J10" s="1"/>
    </row>
    <row r="11" spans="1:91" hidden="1" x14ac:dyDescent="0.25">
      <c r="A11" s="1" t="s">
        <v>0</v>
      </c>
      <c r="B11" s="1">
        <f t="shared" si="0"/>
        <v>932</v>
      </c>
      <c r="C11" s="1" t="s">
        <v>1</v>
      </c>
      <c r="D11" s="1"/>
      <c r="E11" s="1"/>
      <c r="F11" s="1"/>
      <c r="G11" s="1"/>
      <c r="H11" s="1"/>
      <c r="I11" s="1"/>
      <c r="J11" s="1"/>
    </row>
    <row r="12" spans="1:91" hidden="1" x14ac:dyDescent="0.25">
      <c r="A12" s="1" t="s">
        <v>0</v>
      </c>
      <c r="B12" s="1">
        <f t="shared" si="0"/>
        <v>932</v>
      </c>
      <c r="C12" s="1" t="s">
        <v>1</v>
      </c>
      <c r="D12" s="1"/>
      <c r="E12" s="1"/>
      <c r="F12" s="1"/>
      <c r="G12" s="1"/>
      <c r="H12" s="1"/>
      <c r="I12" s="1"/>
      <c r="J12" s="1"/>
    </row>
    <row r="13" spans="1:91" hidden="1" x14ac:dyDescent="0.25">
      <c r="A13" s="1" t="s">
        <v>0</v>
      </c>
      <c r="B13" s="1">
        <f t="shared" si="0"/>
        <v>932</v>
      </c>
      <c r="C13" s="1" t="s">
        <v>1</v>
      </c>
      <c r="D13" s="1"/>
      <c r="E13" s="1"/>
      <c r="F13" s="1"/>
      <c r="G13" s="1"/>
      <c r="H13" s="1"/>
      <c r="I13" s="1"/>
      <c r="J13" s="1"/>
    </row>
    <row r="14" spans="1:91" hidden="1" x14ac:dyDescent="0.25">
      <c r="A14" s="1" t="s">
        <v>0</v>
      </c>
      <c r="B14" s="1">
        <f t="shared" si="0"/>
        <v>932</v>
      </c>
      <c r="C14" s="1" t="s">
        <v>1</v>
      </c>
      <c r="D14" s="1"/>
      <c r="E14" s="1"/>
      <c r="F14" s="1"/>
      <c r="G14" s="1"/>
      <c r="H14" s="1"/>
      <c r="I14" s="1"/>
      <c r="J14" s="1"/>
    </row>
    <row r="15" spans="1:91" hidden="1" x14ac:dyDescent="0.25">
      <c r="A15" s="1" t="s">
        <v>0</v>
      </c>
      <c r="B15" s="1">
        <f t="shared" si="0"/>
        <v>932</v>
      </c>
      <c r="C15" s="1" t="s">
        <v>1</v>
      </c>
      <c r="D15" s="1"/>
      <c r="E15" s="1"/>
      <c r="F15" s="1"/>
      <c r="G15" s="1"/>
      <c r="H15" s="1"/>
      <c r="I15" s="1"/>
      <c r="J15" s="1"/>
    </row>
    <row r="16" spans="1:91" hidden="1" x14ac:dyDescent="0.25">
      <c r="A16" s="1" t="s">
        <v>0</v>
      </c>
      <c r="B16" s="1">
        <f t="shared" si="0"/>
        <v>932</v>
      </c>
      <c r="C16" s="1" t="s">
        <v>1</v>
      </c>
      <c r="D16" s="1"/>
      <c r="E16" s="1"/>
      <c r="F16" s="1"/>
      <c r="G16" s="1"/>
      <c r="H16" s="1"/>
      <c r="I16" s="1"/>
      <c r="J16" s="1"/>
    </row>
    <row r="17" spans="1:91" hidden="1" x14ac:dyDescent="0.25">
      <c r="A17" s="1" t="s">
        <v>0</v>
      </c>
      <c r="B17" s="1">
        <f t="shared" si="0"/>
        <v>932</v>
      </c>
      <c r="C17" s="1" t="s">
        <v>2</v>
      </c>
      <c r="D17" s="1">
        <v>9</v>
      </c>
      <c r="E17" s="1">
        <v>1</v>
      </c>
      <c r="F17" s="1">
        <v>11</v>
      </c>
      <c r="G17" s="1">
        <v>1</v>
      </c>
      <c r="H17" s="1">
        <v>8</v>
      </c>
      <c r="I17" s="1">
        <v>8</v>
      </c>
      <c r="J17" s="1" t="s">
        <v>16</v>
      </c>
    </row>
    <row r="18" spans="1:91" hidden="1" x14ac:dyDescent="0.25">
      <c r="A18" s="1" t="s">
        <v>0</v>
      </c>
      <c r="B18" s="1">
        <f t="shared" si="0"/>
        <v>932</v>
      </c>
      <c r="C18" s="1" t="s">
        <v>2</v>
      </c>
      <c r="D18" s="1">
        <v>13</v>
      </c>
      <c r="E18" s="1">
        <v>1</v>
      </c>
      <c r="F18" s="1">
        <v>9</v>
      </c>
      <c r="G18" s="1">
        <v>3</v>
      </c>
      <c r="H18" s="1">
        <v>7</v>
      </c>
      <c r="I18" s="1"/>
      <c r="J18" s="1"/>
    </row>
    <row r="19" spans="1:91" hidden="1" x14ac:dyDescent="0.25">
      <c r="A19" s="1" t="s">
        <v>0</v>
      </c>
      <c r="B19" s="1">
        <f t="shared" si="0"/>
        <v>932</v>
      </c>
      <c r="C19" s="1" t="s">
        <v>2</v>
      </c>
      <c r="D19" s="1">
        <v>8</v>
      </c>
      <c r="E19" s="1">
        <v>1</v>
      </c>
      <c r="F19" s="1">
        <v>9</v>
      </c>
      <c r="G19" s="1">
        <v>0</v>
      </c>
      <c r="H19" s="1">
        <v>10</v>
      </c>
      <c r="I19" s="1">
        <v>10</v>
      </c>
      <c r="J19" s="1" t="s">
        <v>16</v>
      </c>
    </row>
    <row r="20" spans="1:91" hidden="1" x14ac:dyDescent="0.25">
      <c r="A20" s="1" t="s">
        <v>0</v>
      </c>
      <c r="B20" s="1">
        <f t="shared" si="0"/>
        <v>932</v>
      </c>
      <c r="C20" s="1" t="s">
        <v>2</v>
      </c>
      <c r="D20" s="1">
        <v>12</v>
      </c>
      <c r="E20" s="1">
        <v>1</v>
      </c>
      <c r="F20" s="1">
        <v>7</v>
      </c>
      <c r="G20" s="1">
        <v>2</v>
      </c>
      <c r="H20" s="1">
        <v>13</v>
      </c>
      <c r="I20" s="1"/>
      <c r="J20" s="1"/>
    </row>
    <row r="21" spans="1:91" hidden="1" x14ac:dyDescent="0.25">
      <c r="A21" s="1" t="s">
        <v>0</v>
      </c>
      <c r="B21" s="1">
        <f t="shared" si="0"/>
        <v>932</v>
      </c>
      <c r="C21" s="1" t="s">
        <v>2</v>
      </c>
      <c r="D21" s="1">
        <v>14</v>
      </c>
      <c r="E21" s="1">
        <v>2</v>
      </c>
      <c r="F21" s="1">
        <v>6</v>
      </c>
      <c r="G21" s="1">
        <v>0</v>
      </c>
      <c r="H21" s="1">
        <v>12</v>
      </c>
      <c r="I21" s="1">
        <v>12</v>
      </c>
      <c r="J21" s="1" t="s">
        <v>16</v>
      </c>
    </row>
    <row r="22" spans="1:91" hidden="1" x14ac:dyDescent="0.25">
      <c r="A22" s="1" t="s">
        <v>0</v>
      </c>
      <c r="B22" s="1">
        <f t="shared" si="0"/>
        <v>932</v>
      </c>
      <c r="C22" s="1" t="s">
        <v>2</v>
      </c>
      <c r="D22" s="1">
        <v>6</v>
      </c>
      <c r="E22" s="1">
        <v>2</v>
      </c>
      <c r="F22" s="1">
        <v>6</v>
      </c>
      <c r="G22" s="1">
        <v>0</v>
      </c>
      <c r="H22" s="1">
        <v>15</v>
      </c>
      <c r="I22" s="1">
        <v>15</v>
      </c>
      <c r="J22" s="1"/>
    </row>
    <row r="23" spans="1:91" hidden="1" x14ac:dyDescent="0.25">
      <c r="A23" s="1" t="s">
        <v>0</v>
      </c>
      <c r="B23" s="1">
        <f t="shared" si="0"/>
        <v>932</v>
      </c>
      <c r="C23" s="1" t="s">
        <v>2</v>
      </c>
      <c r="D23" s="1">
        <v>5</v>
      </c>
      <c r="E23" s="1">
        <v>2</v>
      </c>
      <c r="F23" s="1">
        <v>6</v>
      </c>
      <c r="G23" s="1">
        <v>1</v>
      </c>
      <c r="H23" s="1">
        <v>13</v>
      </c>
      <c r="I23" s="1"/>
      <c r="J23" s="1" t="s">
        <v>16</v>
      </c>
      <c r="CM23">
        <v>1.11111111111111E+129</v>
      </c>
    </row>
    <row r="24" spans="1:91" hidden="1" x14ac:dyDescent="0.25">
      <c r="A24" s="1" t="s">
        <v>0</v>
      </c>
      <c r="B24" s="1">
        <f t="shared" si="0"/>
        <v>932</v>
      </c>
      <c r="C24" s="1" t="s">
        <v>2</v>
      </c>
      <c r="D24" s="1">
        <v>16</v>
      </c>
      <c r="E24" s="1">
        <v>2</v>
      </c>
      <c r="F24" s="1">
        <v>5</v>
      </c>
      <c r="G24" s="1">
        <v>0</v>
      </c>
      <c r="H24" s="1">
        <v>18</v>
      </c>
      <c r="I24" s="1"/>
      <c r="J24" s="1"/>
    </row>
    <row r="25" spans="1:91" hidden="1" x14ac:dyDescent="0.25">
      <c r="A25" s="1" t="s">
        <v>0</v>
      </c>
      <c r="B25" s="1">
        <f t="shared" si="0"/>
        <v>932</v>
      </c>
      <c r="C25" s="1" t="s">
        <v>2</v>
      </c>
      <c r="D25" s="1">
        <v>10</v>
      </c>
      <c r="E25" s="1">
        <v>3</v>
      </c>
      <c r="F25" s="1">
        <v>5</v>
      </c>
      <c r="G25" s="1">
        <v>2</v>
      </c>
      <c r="H25" s="1">
        <v>15</v>
      </c>
      <c r="I25" s="1"/>
      <c r="J25" s="1"/>
    </row>
    <row r="26" spans="1:91" hidden="1" x14ac:dyDescent="0.25">
      <c r="A26" s="1" t="s">
        <v>0</v>
      </c>
      <c r="B26" s="1">
        <f t="shared" si="0"/>
        <v>932</v>
      </c>
      <c r="C26" s="1" t="s">
        <v>2</v>
      </c>
      <c r="D26" s="1">
        <v>7</v>
      </c>
      <c r="E26" s="1">
        <v>3</v>
      </c>
      <c r="F26" s="1">
        <v>5</v>
      </c>
      <c r="G26" s="1">
        <v>1</v>
      </c>
      <c r="H26" s="1">
        <v>16</v>
      </c>
      <c r="I26" s="1"/>
      <c r="J26" s="1"/>
    </row>
    <row r="27" spans="1:91" hidden="1" x14ac:dyDescent="0.25">
      <c r="A27" s="1" t="s">
        <v>0</v>
      </c>
      <c r="B27" s="1">
        <f t="shared" si="0"/>
        <v>932</v>
      </c>
      <c r="C27" s="1" t="s">
        <v>2</v>
      </c>
      <c r="D27" s="1">
        <v>4</v>
      </c>
      <c r="E27" s="1">
        <v>3</v>
      </c>
      <c r="F27" s="1">
        <v>4</v>
      </c>
      <c r="G27" s="1">
        <v>0</v>
      </c>
      <c r="H27" s="1">
        <v>20</v>
      </c>
      <c r="I27" s="1">
        <v>20</v>
      </c>
      <c r="J27" s="1"/>
    </row>
    <row r="28" spans="1:91" hidden="1" x14ac:dyDescent="0.25">
      <c r="A28" s="1" t="s">
        <v>0</v>
      </c>
      <c r="B28" s="1">
        <f t="shared" si="0"/>
        <v>932</v>
      </c>
      <c r="C28" s="1" t="s">
        <v>2</v>
      </c>
      <c r="D28" s="1">
        <v>3</v>
      </c>
      <c r="E28" s="1">
        <v>3</v>
      </c>
      <c r="F28" s="1">
        <v>4</v>
      </c>
      <c r="G28" s="1">
        <v>1</v>
      </c>
      <c r="H28" s="1">
        <v>22</v>
      </c>
      <c r="I28" s="1"/>
      <c r="J28" s="1"/>
    </row>
    <row r="29" spans="1:91" hidden="1" x14ac:dyDescent="0.25">
      <c r="A29" s="1" t="s">
        <v>0</v>
      </c>
      <c r="B29" s="1">
        <f t="shared" si="0"/>
        <v>932</v>
      </c>
      <c r="C29" s="1" t="s">
        <v>2</v>
      </c>
      <c r="D29" s="1"/>
      <c r="E29" s="1"/>
      <c r="F29" s="1"/>
      <c r="G29" s="1"/>
      <c r="H29" s="1"/>
      <c r="I29" s="1"/>
      <c r="J29" s="1"/>
    </row>
    <row r="30" spans="1:91" hidden="1" x14ac:dyDescent="0.25">
      <c r="A30" s="1" t="s">
        <v>0</v>
      </c>
      <c r="B30" s="1">
        <f t="shared" si="0"/>
        <v>932</v>
      </c>
      <c r="C30" s="1" t="s">
        <v>2</v>
      </c>
      <c r="D30" s="1"/>
      <c r="E30" s="1"/>
      <c r="F30" s="1"/>
      <c r="G30" s="1"/>
      <c r="H30" s="1"/>
      <c r="I30" s="1"/>
      <c r="J30" s="1"/>
    </row>
    <row r="31" spans="1:91" hidden="1" x14ac:dyDescent="0.25">
      <c r="A31" s="1" t="s">
        <v>0</v>
      </c>
      <c r="B31" s="1">
        <f t="shared" si="0"/>
        <v>932</v>
      </c>
      <c r="C31" s="1" t="s">
        <v>2</v>
      </c>
      <c r="D31" s="1"/>
      <c r="E31" s="1"/>
      <c r="F31" s="1"/>
      <c r="G31" s="1"/>
      <c r="H31" s="1"/>
      <c r="I31" s="1"/>
      <c r="J31" s="1"/>
    </row>
    <row r="32" spans="1:91" hidden="1" x14ac:dyDescent="0.25">
      <c r="A32" s="1" t="s">
        <v>0</v>
      </c>
      <c r="B32" s="1">
        <f t="shared" si="0"/>
        <v>932</v>
      </c>
      <c r="C32" s="1" t="s">
        <v>2</v>
      </c>
      <c r="D32" s="1"/>
      <c r="E32" s="1"/>
      <c r="F32" s="1"/>
      <c r="G32" s="1"/>
      <c r="H32" s="1"/>
      <c r="I32" s="1"/>
      <c r="J32" s="1"/>
    </row>
    <row r="33" spans="1:10" hidden="1" x14ac:dyDescent="0.25">
      <c r="A33" s="1" t="s">
        <v>0</v>
      </c>
      <c r="B33" s="1">
        <f t="shared" si="0"/>
        <v>932</v>
      </c>
      <c r="C33" s="1" t="s">
        <v>3</v>
      </c>
      <c r="D33" s="1">
        <v>24</v>
      </c>
      <c r="E33" s="1">
        <v>1</v>
      </c>
      <c r="F33" s="1">
        <v>7</v>
      </c>
      <c r="G33" s="1">
        <v>0</v>
      </c>
      <c r="H33" s="1">
        <v>12</v>
      </c>
      <c r="I33" s="1">
        <v>12</v>
      </c>
      <c r="J33" s="1" t="s">
        <v>16</v>
      </c>
    </row>
    <row r="34" spans="1:10" hidden="1" x14ac:dyDescent="0.25">
      <c r="A34" s="1" t="s">
        <v>0</v>
      </c>
      <c r="B34" s="1">
        <f t="shared" si="0"/>
        <v>932</v>
      </c>
      <c r="C34" s="1" t="s">
        <v>3</v>
      </c>
      <c r="D34" s="1">
        <v>13</v>
      </c>
      <c r="E34" s="1">
        <v>1</v>
      </c>
      <c r="F34" s="1">
        <v>7</v>
      </c>
      <c r="G34" s="1">
        <v>2</v>
      </c>
      <c r="H34" s="1">
        <v>13</v>
      </c>
      <c r="I34" s="1"/>
      <c r="J34" s="1"/>
    </row>
    <row r="35" spans="1:10" hidden="1" x14ac:dyDescent="0.25">
      <c r="A35" s="1" t="s">
        <v>0</v>
      </c>
      <c r="B35" s="1">
        <f t="shared" si="0"/>
        <v>932</v>
      </c>
      <c r="C35" s="1" t="s">
        <v>3</v>
      </c>
      <c r="D35" s="1">
        <v>25</v>
      </c>
      <c r="E35" s="1">
        <v>1</v>
      </c>
      <c r="F35" s="1">
        <v>6</v>
      </c>
      <c r="G35" s="1">
        <v>0</v>
      </c>
      <c r="H35" s="1">
        <v>16</v>
      </c>
      <c r="I35" s="1">
        <v>16</v>
      </c>
      <c r="J35" s="1" t="s">
        <v>16</v>
      </c>
    </row>
    <row r="36" spans="1:10" hidden="1" x14ac:dyDescent="0.25">
      <c r="A36" s="1" t="s">
        <v>0</v>
      </c>
      <c r="B36" s="1">
        <f t="shared" si="0"/>
        <v>932</v>
      </c>
      <c r="C36" s="1" t="s">
        <v>3</v>
      </c>
      <c r="D36" s="1">
        <v>19</v>
      </c>
      <c r="E36" s="1">
        <v>1</v>
      </c>
      <c r="F36" s="1">
        <v>6</v>
      </c>
      <c r="G36" s="1">
        <v>2</v>
      </c>
      <c r="H36" s="1">
        <v>15</v>
      </c>
      <c r="I36" s="1"/>
      <c r="J36" s="1"/>
    </row>
    <row r="37" spans="1:10" hidden="1" x14ac:dyDescent="0.25">
      <c r="A37" s="1" t="s">
        <v>0</v>
      </c>
      <c r="B37" s="1">
        <f t="shared" si="0"/>
        <v>932</v>
      </c>
      <c r="C37" s="1" t="s">
        <v>3</v>
      </c>
      <c r="D37" s="1">
        <v>12</v>
      </c>
      <c r="E37" s="1">
        <v>1</v>
      </c>
      <c r="F37" s="1">
        <v>6</v>
      </c>
      <c r="G37" s="1">
        <v>0</v>
      </c>
      <c r="H37" s="1">
        <v>15</v>
      </c>
      <c r="I37" s="1">
        <v>15</v>
      </c>
      <c r="J37" s="1" t="s">
        <v>16</v>
      </c>
    </row>
    <row r="38" spans="1:10" hidden="1" x14ac:dyDescent="0.25">
      <c r="A38" s="1" t="s">
        <v>0</v>
      </c>
      <c r="B38" s="1">
        <f t="shared" si="0"/>
        <v>932</v>
      </c>
      <c r="C38" s="1" t="s">
        <v>3</v>
      </c>
      <c r="D38" s="1">
        <v>10</v>
      </c>
      <c r="E38" s="1">
        <v>1</v>
      </c>
      <c r="F38" s="1">
        <v>6</v>
      </c>
      <c r="G38" s="1">
        <v>1</v>
      </c>
      <c r="H38" s="1">
        <v>12</v>
      </c>
      <c r="I38" s="1">
        <v>12</v>
      </c>
      <c r="J38" s="1" t="s">
        <v>16</v>
      </c>
    </row>
    <row r="39" spans="1:10" hidden="1" x14ac:dyDescent="0.25">
      <c r="A39" s="1" t="s">
        <v>0</v>
      </c>
      <c r="B39" s="1">
        <f t="shared" si="0"/>
        <v>932</v>
      </c>
      <c r="C39" s="1" t="s">
        <v>3</v>
      </c>
      <c r="D39" s="1">
        <v>23</v>
      </c>
      <c r="E39" s="1">
        <v>2</v>
      </c>
      <c r="F39" s="1">
        <v>5</v>
      </c>
      <c r="G39" s="1">
        <v>1</v>
      </c>
      <c r="H39" s="1">
        <v>17</v>
      </c>
      <c r="I39" s="1"/>
      <c r="J39" s="1" t="s">
        <v>16</v>
      </c>
    </row>
    <row r="40" spans="1:10" hidden="1" x14ac:dyDescent="0.25">
      <c r="A40" s="1" t="s">
        <v>0</v>
      </c>
      <c r="B40" s="1">
        <f t="shared" si="0"/>
        <v>932</v>
      </c>
      <c r="C40" s="1" t="s">
        <v>3</v>
      </c>
      <c r="D40" s="1">
        <v>21</v>
      </c>
      <c r="E40" s="1">
        <v>2</v>
      </c>
      <c r="F40" s="1">
        <v>5</v>
      </c>
      <c r="G40" s="1">
        <v>0</v>
      </c>
      <c r="H40" s="1">
        <v>9</v>
      </c>
      <c r="I40" s="1">
        <v>9</v>
      </c>
      <c r="J40" s="1" t="s">
        <v>16</v>
      </c>
    </row>
    <row r="41" spans="1:10" hidden="1" x14ac:dyDescent="0.25">
      <c r="A41" s="1" t="s">
        <v>0</v>
      </c>
      <c r="B41" s="1">
        <f t="shared" si="0"/>
        <v>932</v>
      </c>
      <c r="C41" s="1" t="s">
        <v>3</v>
      </c>
      <c r="D41" s="1">
        <v>18</v>
      </c>
      <c r="E41" s="1">
        <v>2</v>
      </c>
      <c r="F41" s="1">
        <v>5</v>
      </c>
      <c r="G41" s="1">
        <v>1</v>
      </c>
      <c r="H41" s="1">
        <v>18</v>
      </c>
      <c r="I41" s="1"/>
      <c r="J41" s="1"/>
    </row>
    <row r="42" spans="1:10" hidden="1" x14ac:dyDescent="0.25">
      <c r="A42" s="1" t="s">
        <v>0</v>
      </c>
      <c r="B42" s="1">
        <f t="shared" si="0"/>
        <v>932</v>
      </c>
      <c r="C42" s="1" t="s">
        <v>3</v>
      </c>
      <c r="D42" s="1">
        <v>16</v>
      </c>
      <c r="E42" s="1">
        <v>2</v>
      </c>
      <c r="F42" s="1">
        <v>5</v>
      </c>
      <c r="G42" s="1">
        <v>1</v>
      </c>
      <c r="H42" s="1">
        <v>15</v>
      </c>
      <c r="I42" s="1"/>
      <c r="J42" s="1" t="s">
        <v>16</v>
      </c>
    </row>
    <row r="43" spans="1:10" hidden="1" x14ac:dyDescent="0.25">
      <c r="A43" s="1" t="s">
        <v>0</v>
      </c>
      <c r="B43" s="1">
        <f t="shared" si="0"/>
        <v>932</v>
      </c>
      <c r="C43" s="1" t="s">
        <v>3</v>
      </c>
      <c r="D43" s="1">
        <v>15</v>
      </c>
      <c r="E43" s="1">
        <v>2</v>
      </c>
      <c r="F43" s="1">
        <v>5</v>
      </c>
      <c r="G43" s="1">
        <v>0</v>
      </c>
      <c r="H43" s="1">
        <v>19</v>
      </c>
      <c r="I43" s="1">
        <v>19</v>
      </c>
      <c r="J43" s="1"/>
    </row>
    <row r="44" spans="1:10" hidden="1" x14ac:dyDescent="0.25">
      <c r="A44" s="1" t="s">
        <v>0</v>
      </c>
      <c r="B44" s="1">
        <f t="shared" si="0"/>
        <v>932</v>
      </c>
      <c r="C44" s="1" t="s">
        <v>3</v>
      </c>
      <c r="D44" s="1">
        <v>11</v>
      </c>
      <c r="E44" s="1">
        <v>2</v>
      </c>
      <c r="F44" s="1">
        <v>5</v>
      </c>
      <c r="G44" s="1">
        <v>1</v>
      </c>
      <c r="H44" s="1">
        <v>17</v>
      </c>
      <c r="I44" s="1">
        <v>17</v>
      </c>
      <c r="J44" s="1" t="s">
        <v>16</v>
      </c>
    </row>
    <row r="45" spans="1:10" hidden="1" x14ac:dyDescent="0.25">
      <c r="A45" s="1" t="s">
        <v>0</v>
      </c>
      <c r="B45" s="1">
        <f t="shared" si="0"/>
        <v>932</v>
      </c>
      <c r="C45" s="1" t="s">
        <v>3</v>
      </c>
      <c r="D45" s="3">
        <v>28</v>
      </c>
      <c r="E45" s="1">
        <v>3</v>
      </c>
      <c r="F45" s="1">
        <v>4</v>
      </c>
      <c r="G45" s="1">
        <v>1</v>
      </c>
      <c r="H45" s="1">
        <v>21</v>
      </c>
      <c r="I45" s="1"/>
      <c r="J45" s="1"/>
    </row>
    <row r="46" spans="1:10" hidden="1" x14ac:dyDescent="0.25">
      <c r="A46" s="1" t="s">
        <v>0</v>
      </c>
      <c r="B46" s="1">
        <f t="shared" si="0"/>
        <v>932</v>
      </c>
      <c r="C46" s="1" t="s">
        <v>3</v>
      </c>
      <c r="D46" s="1">
        <v>26</v>
      </c>
      <c r="E46" s="1">
        <v>3</v>
      </c>
      <c r="F46" s="1">
        <v>3</v>
      </c>
      <c r="G46" s="1">
        <v>2</v>
      </c>
      <c r="H46" s="1">
        <v>28</v>
      </c>
      <c r="I46" s="1"/>
      <c r="J46" s="1"/>
    </row>
    <row r="47" spans="1:10" hidden="1" x14ac:dyDescent="0.25">
      <c r="A47" s="1" t="s">
        <v>0</v>
      </c>
      <c r="B47" s="1">
        <f t="shared" si="0"/>
        <v>932</v>
      </c>
      <c r="C47" s="1" t="s">
        <v>3</v>
      </c>
      <c r="D47" s="1">
        <v>17</v>
      </c>
      <c r="E47" s="1">
        <v>3</v>
      </c>
      <c r="F47" s="1">
        <v>3</v>
      </c>
      <c r="G47" s="1">
        <v>2</v>
      </c>
      <c r="H47" s="1">
        <v>8</v>
      </c>
      <c r="I47" s="1"/>
      <c r="J47" s="1"/>
    </row>
    <row r="48" spans="1:10" hidden="1" x14ac:dyDescent="0.25">
      <c r="A48" s="1" t="s">
        <v>0</v>
      </c>
      <c r="B48" s="1">
        <f t="shared" si="0"/>
        <v>932</v>
      </c>
      <c r="C48" s="1" t="s">
        <v>3</v>
      </c>
      <c r="D48" s="1">
        <v>14</v>
      </c>
      <c r="E48" s="1">
        <v>3</v>
      </c>
      <c r="F48" s="1">
        <v>3</v>
      </c>
      <c r="G48" s="1">
        <v>0</v>
      </c>
      <c r="H48" s="1">
        <v>27</v>
      </c>
      <c r="I48" s="1">
        <v>27</v>
      </c>
      <c r="J48" s="1"/>
    </row>
    <row r="49" spans="1:10" hidden="1" x14ac:dyDescent="0.25">
      <c r="A49" s="1" t="s">
        <v>0</v>
      </c>
      <c r="B49" s="1">
        <f t="shared" si="0"/>
        <v>932</v>
      </c>
      <c r="C49" s="1" t="s">
        <v>3</v>
      </c>
      <c r="D49" s="1">
        <v>8</v>
      </c>
      <c r="E49" s="1">
        <v>3</v>
      </c>
      <c r="F49" s="1">
        <v>3</v>
      </c>
      <c r="G49" s="1">
        <v>3</v>
      </c>
      <c r="H49" s="1">
        <v>4</v>
      </c>
      <c r="I49" s="1">
        <v>4</v>
      </c>
      <c r="J49" s="1"/>
    </row>
    <row r="50" spans="1:10" hidden="1" x14ac:dyDescent="0.25">
      <c r="A50" s="1" t="s">
        <v>0</v>
      </c>
      <c r="B50" s="1">
        <f t="shared" si="0"/>
        <v>932</v>
      </c>
      <c r="C50" s="1" t="s">
        <v>3</v>
      </c>
      <c r="D50" s="1">
        <v>7</v>
      </c>
      <c r="E50" s="1">
        <v>3</v>
      </c>
      <c r="F50" s="1">
        <v>3</v>
      </c>
      <c r="G50" s="1">
        <v>0</v>
      </c>
      <c r="H50" s="1">
        <v>27</v>
      </c>
      <c r="I50" s="1"/>
      <c r="J50" s="1"/>
    </row>
    <row r="51" spans="1:10" hidden="1" x14ac:dyDescent="0.25">
      <c r="A51" s="1" t="s">
        <v>0</v>
      </c>
      <c r="B51" s="1">
        <f t="shared" si="0"/>
        <v>932</v>
      </c>
      <c r="C51" s="1" t="s">
        <v>3</v>
      </c>
      <c r="D51" s="1">
        <v>6</v>
      </c>
      <c r="E51" s="1">
        <v>3</v>
      </c>
      <c r="F51" s="1">
        <v>3</v>
      </c>
      <c r="G51" s="1">
        <v>0</v>
      </c>
      <c r="H51" s="1">
        <v>23</v>
      </c>
      <c r="I51" s="1">
        <v>23</v>
      </c>
      <c r="J51" s="1"/>
    </row>
    <row r="52" spans="1:10" hidden="1" x14ac:dyDescent="0.25">
      <c r="A52" s="1" t="s">
        <v>0</v>
      </c>
      <c r="B52" s="1">
        <f t="shared" si="0"/>
        <v>932</v>
      </c>
      <c r="C52" s="1" t="s">
        <v>3</v>
      </c>
      <c r="D52" s="1"/>
      <c r="E52" s="1"/>
      <c r="F52" s="1"/>
      <c r="G52" s="1"/>
      <c r="H52" s="1"/>
      <c r="I52" s="1"/>
      <c r="J52" s="1"/>
    </row>
    <row r="53" spans="1:10" hidden="1" x14ac:dyDescent="0.25">
      <c r="A53" s="1" t="s">
        <v>0</v>
      </c>
      <c r="B53" s="1">
        <f t="shared" si="0"/>
        <v>932</v>
      </c>
      <c r="C53" s="1" t="s">
        <v>3</v>
      </c>
      <c r="D53" s="1"/>
      <c r="E53" s="1"/>
      <c r="F53" s="1"/>
      <c r="G53" s="1"/>
      <c r="H53" s="1"/>
      <c r="I53" s="1"/>
      <c r="J53" s="1"/>
    </row>
    <row r="54" spans="1:10" hidden="1" x14ac:dyDescent="0.25">
      <c r="A54" s="1" t="s">
        <v>0</v>
      </c>
      <c r="B54" s="1">
        <f t="shared" si="0"/>
        <v>932</v>
      </c>
      <c r="C54" s="1" t="s">
        <v>3</v>
      </c>
      <c r="D54" s="1"/>
      <c r="E54" s="1"/>
      <c r="F54" s="1"/>
      <c r="G54" s="1"/>
      <c r="H54" s="1"/>
      <c r="I54" s="1"/>
      <c r="J54" s="1"/>
    </row>
    <row r="55" spans="1:10" hidden="1" x14ac:dyDescent="0.25">
      <c r="A55" s="1" t="s">
        <v>0</v>
      </c>
      <c r="B55" s="1">
        <f t="shared" si="0"/>
        <v>932</v>
      </c>
      <c r="C55" s="1" t="s">
        <v>4</v>
      </c>
      <c r="D55" s="1">
        <v>14</v>
      </c>
      <c r="E55" s="1">
        <v>1</v>
      </c>
      <c r="F55" s="1">
        <v>9</v>
      </c>
      <c r="G55" s="1">
        <v>1</v>
      </c>
      <c r="H55" s="1">
        <v>9</v>
      </c>
      <c r="I55" s="1"/>
      <c r="J55" s="1" t="s">
        <v>16</v>
      </c>
    </row>
    <row r="56" spans="1:10" hidden="1" x14ac:dyDescent="0.25">
      <c r="A56" s="1" t="s">
        <v>0</v>
      </c>
      <c r="B56" s="1">
        <f t="shared" si="0"/>
        <v>932</v>
      </c>
      <c r="C56" s="1" t="s">
        <v>4</v>
      </c>
      <c r="D56" s="1">
        <v>26</v>
      </c>
      <c r="E56" s="1">
        <v>1</v>
      </c>
      <c r="F56" s="1">
        <v>8</v>
      </c>
      <c r="G56" s="1">
        <v>0</v>
      </c>
      <c r="H56" s="1">
        <v>9</v>
      </c>
      <c r="I56" s="1">
        <v>9</v>
      </c>
      <c r="J56" s="1" t="s">
        <v>16</v>
      </c>
    </row>
    <row r="57" spans="1:10" hidden="1" x14ac:dyDescent="0.25">
      <c r="A57" s="1" t="s">
        <v>0</v>
      </c>
      <c r="B57" s="1">
        <f t="shared" si="0"/>
        <v>932</v>
      </c>
      <c r="C57" s="1" t="s">
        <v>4</v>
      </c>
      <c r="D57" s="1">
        <v>22</v>
      </c>
      <c r="E57" s="1">
        <v>1</v>
      </c>
      <c r="F57" s="1">
        <v>7</v>
      </c>
      <c r="G57" s="1">
        <v>1</v>
      </c>
      <c r="H57" s="1">
        <v>12</v>
      </c>
      <c r="I57" s="1"/>
      <c r="J57" s="1" t="s">
        <v>16</v>
      </c>
    </row>
    <row r="58" spans="1:10" hidden="1" x14ac:dyDescent="0.25">
      <c r="A58" s="1" t="s">
        <v>0</v>
      </c>
      <c r="B58" s="1">
        <f t="shared" si="0"/>
        <v>932</v>
      </c>
      <c r="C58" s="1" t="s">
        <v>4</v>
      </c>
      <c r="D58" s="1">
        <v>29</v>
      </c>
      <c r="E58" s="1">
        <v>1</v>
      </c>
      <c r="F58" s="1">
        <v>6</v>
      </c>
      <c r="G58" s="1">
        <v>1</v>
      </c>
      <c r="H58" s="1">
        <v>15</v>
      </c>
      <c r="I58" s="1"/>
      <c r="J58" s="1" t="s">
        <v>16</v>
      </c>
    </row>
    <row r="59" spans="1:10" hidden="1" x14ac:dyDescent="0.25">
      <c r="A59" s="1" t="s">
        <v>0</v>
      </c>
      <c r="B59" s="1">
        <f t="shared" si="0"/>
        <v>932</v>
      </c>
      <c r="C59" s="1" t="s">
        <v>4</v>
      </c>
      <c r="D59" s="1">
        <v>28</v>
      </c>
      <c r="E59" s="1">
        <v>1</v>
      </c>
      <c r="F59" s="1">
        <v>6</v>
      </c>
      <c r="G59" s="1">
        <v>2</v>
      </c>
      <c r="H59" s="1">
        <v>8</v>
      </c>
      <c r="I59" s="1"/>
      <c r="J59" s="1"/>
    </row>
    <row r="60" spans="1:10" hidden="1" x14ac:dyDescent="0.25">
      <c r="A60" s="1" t="s">
        <v>0</v>
      </c>
      <c r="B60" s="1">
        <f t="shared" si="0"/>
        <v>932</v>
      </c>
      <c r="C60" s="1" t="s">
        <v>4</v>
      </c>
      <c r="D60" s="1">
        <v>25</v>
      </c>
      <c r="E60" s="1">
        <v>2</v>
      </c>
      <c r="F60" s="1">
        <v>6</v>
      </c>
      <c r="G60" s="1">
        <v>1</v>
      </c>
      <c r="H60" s="1">
        <v>14</v>
      </c>
      <c r="I60" s="1">
        <v>14</v>
      </c>
      <c r="J60" s="1" t="s">
        <v>16</v>
      </c>
    </row>
    <row r="61" spans="1:10" hidden="1" x14ac:dyDescent="0.25">
      <c r="A61" s="1" t="s">
        <v>0</v>
      </c>
      <c r="B61" s="1">
        <f t="shared" si="0"/>
        <v>932</v>
      </c>
      <c r="C61" s="1" t="s">
        <v>4</v>
      </c>
      <c r="D61" s="1">
        <v>23</v>
      </c>
      <c r="E61" s="1">
        <v>2</v>
      </c>
      <c r="F61" s="1">
        <v>5</v>
      </c>
      <c r="G61" s="1">
        <v>1</v>
      </c>
      <c r="H61" s="1">
        <v>19</v>
      </c>
      <c r="I61" s="1"/>
      <c r="J61" s="1"/>
    </row>
    <row r="62" spans="1:10" hidden="1" x14ac:dyDescent="0.25">
      <c r="A62" s="1" t="s">
        <v>0</v>
      </c>
      <c r="B62" s="1">
        <f t="shared" si="0"/>
        <v>932</v>
      </c>
      <c r="C62" s="1" t="s">
        <v>4</v>
      </c>
      <c r="D62" s="1">
        <v>20</v>
      </c>
      <c r="E62" s="1">
        <v>2</v>
      </c>
      <c r="F62" s="1">
        <v>5</v>
      </c>
      <c r="G62" s="1">
        <v>0</v>
      </c>
      <c r="H62" s="1">
        <v>18</v>
      </c>
      <c r="I62" s="1"/>
      <c r="J62" s="1" t="s">
        <v>16</v>
      </c>
    </row>
    <row r="63" spans="1:10" hidden="1" x14ac:dyDescent="0.25">
      <c r="A63" s="1" t="s">
        <v>0</v>
      </c>
      <c r="B63" s="1">
        <f t="shared" si="0"/>
        <v>932</v>
      </c>
      <c r="C63" s="1" t="s">
        <v>4</v>
      </c>
      <c r="D63" s="1">
        <v>19</v>
      </c>
      <c r="E63" s="1">
        <v>2</v>
      </c>
      <c r="F63" s="1">
        <v>5</v>
      </c>
      <c r="G63" s="1">
        <v>1</v>
      </c>
      <c r="H63" s="1">
        <v>18</v>
      </c>
      <c r="I63" s="1"/>
      <c r="J63" s="1" t="s">
        <v>16</v>
      </c>
    </row>
    <row r="64" spans="1:10" hidden="1" x14ac:dyDescent="0.25">
      <c r="A64" s="1" t="s">
        <v>0</v>
      </c>
      <c r="B64" s="1">
        <f t="shared" si="0"/>
        <v>932</v>
      </c>
      <c r="C64" s="1" t="s">
        <v>4</v>
      </c>
      <c r="D64" s="3">
        <v>27</v>
      </c>
      <c r="E64" s="1">
        <v>2</v>
      </c>
      <c r="F64" s="1">
        <v>4</v>
      </c>
      <c r="G64" s="1">
        <v>1</v>
      </c>
      <c r="H64" s="1">
        <v>17</v>
      </c>
      <c r="I64" s="1"/>
      <c r="J64" s="1" t="s">
        <v>16</v>
      </c>
    </row>
    <row r="65" spans="1:10" hidden="1" x14ac:dyDescent="0.25">
      <c r="A65" s="1" t="s">
        <v>0</v>
      </c>
      <c r="B65" s="1">
        <f t="shared" si="0"/>
        <v>932</v>
      </c>
      <c r="C65" s="1" t="s">
        <v>4</v>
      </c>
      <c r="D65" s="1">
        <v>15</v>
      </c>
      <c r="E65" s="1">
        <v>3</v>
      </c>
      <c r="F65" s="1">
        <v>4</v>
      </c>
      <c r="G65" s="1">
        <v>1</v>
      </c>
      <c r="H65" s="1">
        <v>20</v>
      </c>
      <c r="I65" s="1"/>
      <c r="J65" s="1"/>
    </row>
    <row r="66" spans="1:10" hidden="1" x14ac:dyDescent="0.25">
      <c r="A66" s="1" t="s">
        <v>0</v>
      </c>
      <c r="B66" s="1">
        <f t="shared" si="0"/>
        <v>932</v>
      </c>
      <c r="C66" s="1" t="s">
        <v>4</v>
      </c>
      <c r="D66" s="1">
        <v>11</v>
      </c>
      <c r="E66" s="1">
        <v>3</v>
      </c>
      <c r="F66" s="1">
        <v>4</v>
      </c>
      <c r="G66" s="1">
        <v>0</v>
      </c>
      <c r="H66" s="1">
        <v>21</v>
      </c>
      <c r="I66" s="1">
        <v>21</v>
      </c>
      <c r="J66" s="1"/>
    </row>
    <row r="67" spans="1:10" hidden="1" x14ac:dyDescent="0.25">
      <c r="A67" s="1" t="s">
        <v>0</v>
      </c>
      <c r="B67" s="1">
        <f t="shared" si="0"/>
        <v>932</v>
      </c>
      <c r="C67" s="1" t="s">
        <v>4</v>
      </c>
      <c r="D67" s="1">
        <v>31</v>
      </c>
      <c r="E67" s="1">
        <v>3</v>
      </c>
      <c r="F67" s="1">
        <v>3</v>
      </c>
      <c r="G67" s="1">
        <v>0</v>
      </c>
      <c r="H67" s="1">
        <v>28</v>
      </c>
      <c r="I67" s="1">
        <v>28</v>
      </c>
      <c r="J67" s="1"/>
    </row>
    <row r="68" spans="1:10" hidden="1" x14ac:dyDescent="0.25">
      <c r="A68" s="1" t="s">
        <v>0</v>
      </c>
      <c r="B68" s="1">
        <f t="shared" si="0"/>
        <v>932</v>
      </c>
      <c r="C68" s="1" t="s">
        <v>4</v>
      </c>
      <c r="D68" s="1">
        <v>30</v>
      </c>
      <c r="E68" s="1">
        <v>3</v>
      </c>
      <c r="F68" s="1">
        <v>3</v>
      </c>
      <c r="G68" s="1">
        <v>1</v>
      </c>
      <c r="H68" s="1">
        <v>32</v>
      </c>
      <c r="I68" s="1"/>
      <c r="J68" s="1"/>
    </row>
    <row r="69" spans="1:10" hidden="1" x14ac:dyDescent="0.25">
      <c r="A69" s="1" t="s">
        <v>0</v>
      </c>
      <c r="B69" s="1">
        <f t="shared" si="0"/>
        <v>932</v>
      </c>
      <c r="C69" s="1" t="s">
        <v>4</v>
      </c>
      <c r="D69" s="1">
        <v>21</v>
      </c>
      <c r="E69" s="1">
        <v>3</v>
      </c>
      <c r="F69" s="1">
        <v>3</v>
      </c>
      <c r="G69" s="1">
        <v>0</v>
      </c>
      <c r="H69" s="1">
        <v>23</v>
      </c>
      <c r="I69" s="1">
        <v>23</v>
      </c>
      <c r="J69" s="1"/>
    </row>
    <row r="70" spans="1:10" hidden="1" x14ac:dyDescent="0.25">
      <c r="A70" s="1" t="s">
        <v>0</v>
      </c>
      <c r="B70" s="1">
        <f t="shared" si="0"/>
        <v>932</v>
      </c>
      <c r="C70" s="1" t="s">
        <v>4</v>
      </c>
      <c r="D70" s="1"/>
      <c r="E70" s="1"/>
      <c r="F70" s="1"/>
      <c r="G70" s="1"/>
      <c r="H70" s="1"/>
      <c r="I70" s="1"/>
      <c r="J70" s="1"/>
    </row>
    <row r="71" spans="1:10" hidden="1" x14ac:dyDescent="0.25">
      <c r="A71" s="1" t="s">
        <v>0</v>
      </c>
      <c r="B71" s="1">
        <f t="shared" si="0"/>
        <v>932</v>
      </c>
      <c r="C71" s="1" t="s">
        <v>4</v>
      </c>
      <c r="D71" s="1"/>
      <c r="E71" s="1"/>
      <c r="F71" s="1"/>
      <c r="G71" s="1"/>
      <c r="H71" s="1"/>
      <c r="I71" s="1"/>
      <c r="J71" s="1"/>
    </row>
    <row r="72" spans="1:10" hidden="1" x14ac:dyDescent="0.25">
      <c r="A72" s="1" t="s">
        <v>0</v>
      </c>
      <c r="B72" s="1">
        <f t="shared" ref="B72:B101" si="1">$K$1</f>
        <v>932</v>
      </c>
      <c r="C72" s="1" t="s">
        <v>5</v>
      </c>
      <c r="D72" s="1">
        <v>32</v>
      </c>
      <c r="E72" s="1">
        <v>1</v>
      </c>
      <c r="F72" s="1">
        <v>9</v>
      </c>
      <c r="G72" s="1">
        <v>2</v>
      </c>
      <c r="H72" s="1">
        <v>10</v>
      </c>
      <c r="I72" s="1"/>
      <c r="J72" s="1"/>
    </row>
    <row r="73" spans="1:10" hidden="1" x14ac:dyDescent="0.25">
      <c r="A73" s="1" t="s">
        <v>0</v>
      </c>
      <c r="B73" s="1">
        <f t="shared" si="1"/>
        <v>932</v>
      </c>
      <c r="C73" s="1" t="s">
        <v>5</v>
      </c>
      <c r="D73" s="1">
        <v>35</v>
      </c>
      <c r="E73" s="1">
        <v>1</v>
      </c>
      <c r="F73" s="1">
        <v>8</v>
      </c>
      <c r="G73" s="1">
        <v>1</v>
      </c>
      <c r="H73" s="1">
        <v>10</v>
      </c>
      <c r="I73" s="1"/>
      <c r="J73" s="1" t="s">
        <v>16</v>
      </c>
    </row>
    <row r="74" spans="1:10" hidden="1" x14ac:dyDescent="0.25">
      <c r="A74" s="1" t="s">
        <v>0</v>
      </c>
      <c r="B74" s="1">
        <f t="shared" si="1"/>
        <v>932</v>
      </c>
      <c r="C74" s="1" t="s">
        <v>5</v>
      </c>
      <c r="D74" s="1">
        <v>31</v>
      </c>
      <c r="E74" s="1">
        <v>1</v>
      </c>
      <c r="F74" s="1">
        <v>8</v>
      </c>
      <c r="G74" s="1">
        <v>2</v>
      </c>
      <c r="H74" s="1">
        <v>11</v>
      </c>
      <c r="I74" s="1"/>
      <c r="J74" s="1"/>
    </row>
    <row r="75" spans="1:10" hidden="1" x14ac:dyDescent="0.25">
      <c r="A75" s="1" t="s">
        <v>0</v>
      </c>
      <c r="B75" s="1">
        <f t="shared" si="1"/>
        <v>932</v>
      </c>
      <c r="C75" s="1" t="s">
        <v>5</v>
      </c>
      <c r="D75" s="1">
        <v>25</v>
      </c>
      <c r="E75" s="1">
        <v>2</v>
      </c>
      <c r="F75" s="1">
        <v>8</v>
      </c>
      <c r="G75" s="1">
        <v>1</v>
      </c>
      <c r="H75" s="1">
        <v>10</v>
      </c>
      <c r="I75" s="1"/>
      <c r="J75" s="1" t="s">
        <v>16</v>
      </c>
    </row>
    <row r="76" spans="1:10" hidden="1" x14ac:dyDescent="0.25">
      <c r="A76" s="1" t="s">
        <v>0</v>
      </c>
      <c r="B76" s="1">
        <f t="shared" si="1"/>
        <v>932</v>
      </c>
      <c r="C76" s="1" t="s">
        <v>5</v>
      </c>
      <c r="D76" s="1">
        <v>30</v>
      </c>
      <c r="E76" s="1">
        <v>2</v>
      </c>
      <c r="F76" s="1">
        <v>7</v>
      </c>
      <c r="G76" s="1">
        <v>1</v>
      </c>
      <c r="H76" s="1">
        <v>13</v>
      </c>
      <c r="I76" s="1"/>
      <c r="J76" s="1"/>
    </row>
    <row r="77" spans="1:10" hidden="1" x14ac:dyDescent="0.25">
      <c r="A77" s="1" t="s">
        <v>0</v>
      </c>
      <c r="B77" s="1">
        <f t="shared" si="1"/>
        <v>932</v>
      </c>
      <c r="C77" s="1" t="s">
        <v>5</v>
      </c>
      <c r="D77" s="1">
        <v>29</v>
      </c>
      <c r="E77" s="1">
        <v>2</v>
      </c>
      <c r="F77" s="1">
        <v>6</v>
      </c>
      <c r="G77" s="1">
        <v>0</v>
      </c>
      <c r="H77" s="1">
        <v>12</v>
      </c>
      <c r="I77" s="1">
        <v>12</v>
      </c>
      <c r="J77" s="1" t="s">
        <v>16</v>
      </c>
    </row>
    <row r="78" spans="1:10" hidden="1" x14ac:dyDescent="0.25">
      <c r="A78" s="1" t="s">
        <v>0</v>
      </c>
      <c r="B78" s="1">
        <f t="shared" si="1"/>
        <v>932</v>
      </c>
      <c r="C78" s="1" t="s">
        <v>5</v>
      </c>
      <c r="D78" s="1">
        <v>27</v>
      </c>
      <c r="E78" s="1">
        <v>3</v>
      </c>
      <c r="F78" s="1">
        <v>6</v>
      </c>
      <c r="G78" s="1">
        <v>0</v>
      </c>
      <c r="H78" s="1">
        <v>12</v>
      </c>
      <c r="I78" s="1">
        <v>12</v>
      </c>
      <c r="J78" s="1" t="s">
        <v>16</v>
      </c>
    </row>
    <row r="79" spans="1:10" hidden="1" x14ac:dyDescent="0.25">
      <c r="A79" s="1" t="s">
        <v>0</v>
      </c>
      <c r="B79" s="1">
        <f t="shared" si="1"/>
        <v>932</v>
      </c>
      <c r="C79" s="1" t="s">
        <v>5</v>
      </c>
      <c r="D79" s="1">
        <v>33</v>
      </c>
      <c r="E79" s="1">
        <v>3</v>
      </c>
      <c r="F79" s="1">
        <v>5</v>
      </c>
      <c r="G79" s="1">
        <v>0</v>
      </c>
      <c r="H79" s="1">
        <v>16</v>
      </c>
      <c r="I79" s="1"/>
      <c r="J79" s="1"/>
    </row>
    <row r="80" spans="1:10" hidden="1" x14ac:dyDescent="0.25">
      <c r="A80" s="1" t="s">
        <v>0</v>
      </c>
      <c r="B80" s="1">
        <f t="shared" si="1"/>
        <v>932</v>
      </c>
      <c r="C80" s="1" t="s">
        <v>5</v>
      </c>
      <c r="D80" s="1">
        <v>26</v>
      </c>
      <c r="E80" s="1">
        <v>3</v>
      </c>
      <c r="F80" s="1">
        <v>5</v>
      </c>
      <c r="G80" s="1">
        <v>0</v>
      </c>
      <c r="H80" s="1">
        <v>17</v>
      </c>
      <c r="I80" s="1">
        <v>17</v>
      </c>
      <c r="J80" s="1"/>
    </row>
    <row r="81" spans="1:10" hidden="1" x14ac:dyDescent="0.25">
      <c r="A81" s="1" t="s">
        <v>0</v>
      </c>
      <c r="B81" s="1">
        <f t="shared" si="1"/>
        <v>932</v>
      </c>
      <c r="C81" s="1" t="s">
        <v>5</v>
      </c>
      <c r="D81" s="1">
        <v>24</v>
      </c>
      <c r="E81" s="1">
        <v>3</v>
      </c>
      <c r="F81" s="1">
        <v>5</v>
      </c>
      <c r="G81" s="1">
        <v>0</v>
      </c>
      <c r="H81" s="1">
        <v>14</v>
      </c>
      <c r="I81" s="4"/>
      <c r="J81" s="1"/>
    </row>
    <row r="82" spans="1:10" hidden="1" x14ac:dyDescent="0.25">
      <c r="A82" s="1" t="s">
        <v>0</v>
      </c>
      <c r="B82" s="1">
        <f t="shared" si="1"/>
        <v>932</v>
      </c>
      <c r="C82" s="1" t="s">
        <v>5</v>
      </c>
      <c r="D82" s="1">
        <v>38</v>
      </c>
      <c r="E82" s="1">
        <v>3</v>
      </c>
      <c r="F82" s="1">
        <v>4</v>
      </c>
      <c r="G82" s="1">
        <v>2</v>
      </c>
      <c r="H82" s="1">
        <v>12</v>
      </c>
      <c r="I82" s="1"/>
      <c r="J82" s="1"/>
    </row>
    <row r="83" spans="1:10" hidden="1" x14ac:dyDescent="0.25">
      <c r="A83" s="1" t="s">
        <v>0</v>
      </c>
      <c r="B83" s="1">
        <f t="shared" si="1"/>
        <v>932</v>
      </c>
      <c r="C83" s="1" t="s">
        <v>5</v>
      </c>
      <c r="D83" s="1"/>
      <c r="E83" s="1"/>
      <c r="F83" s="1"/>
      <c r="G83" s="1"/>
      <c r="H83" s="1"/>
      <c r="I83" s="1"/>
      <c r="J83" s="1"/>
    </row>
    <row r="84" spans="1:10" hidden="1" x14ac:dyDescent="0.25">
      <c r="A84" s="1" t="s">
        <v>0</v>
      </c>
      <c r="B84" s="1">
        <f t="shared" si="1"/>
        <v>932</v>
      </c>
      <c r="C84" s="1" t="s">
        <v>5</v>
      </c>
      <c r="D84" s="1"/>
      <c r="E84" s="1"/>
      <c r="F84" s="1"/>
      <c r="G84" s="1"/>
      <c r="H84" s="1"/>
      <c r="I84" s="1"/>
      <c r="J84" s="1"/>
    </row>
    <row r="85" spans="1:10" hidden="1" x14ac:dyDescent="0.25">
      <c r="A85" s="1" t="s">
        <v>0</v>
      </c>
      <c r="B85" s="1">
        <f t="shared" si="1"/>
        <v>932</v>
      </c>
      <c r="C85" s="1" t="s">
        <v>5</v>
      </c>
      <c r="D85" s="1"/>
      <c r="E85" s="1"/>
      <c r="F85" s="1"/>
      <c r="G85" s="1"/>
      <c r="H85" s="1"/>
      <c r="I85" s="1"/>
      <c r="J85" s="1"/>
    </row>
    <row r="86" spans="1:10" hidden="1" x14ac:dyDescent="0.25">
      <c r="A86" s="1" t="s">
        <v>0</v>
      </c>
      <c r="B86" s="1">
        <f t="shared" si="1"/>
        <v>932</v>
      </c>
      <c r="C86" s="1" t="s">
        <v>5</v>
      </c>
      <c r="D86" s="1"/>
      <c r="E86" s="1"/>
      <c r="F86" s="1"/>
      <c r="G86" s="1"/>
      <c r="H86" s="1"/>
      <c r="I86" s="1"/>
      <c r="J86" s="1"/>
    </row>
    <row r="87" spans="1:10" x14ac:dyDescent="0.25">
      <c r="A87" s="1" t="s">
        <v>0</v>
      </c>
      <c r="B87" s="1">
        <f t="shared" si="1"/>
        <v>932</v>
      </c>
      <c r="C87" s="1" t="s">
        <v>6</v>
      </c>
      <c r="D87" s="1">
        <v>39</v>
      </c>
      <c r="E87" s="1">
        <v>1</v>
      </c>
      <c r="F87" s="1">
        <v>19</v>
      </c>
      <c r="G87" s="1">
        <v>4</v>
      </c>
      <c r="H87" s="1">
        <v>4</v>
      </c>
      <c r="I87" s="1"/>
      <c r="J87" s="1"/>
    </row>
    <row r="88" spans="1:10" x14ac:dyDescent="0.25">
      <c r="A88" s="1" t="s">
        <v>0</v>
      </c>
      <c r="B88" s="1">
        <f t="shared" si="1"/>
        <v>932</v>
      </c>
      <c r="C88" s="1" t="s">
        <v>6</v>
      </c>
      <c r="D88" s="1">
        <v>37</v>
      </c>
      <c r="E88" s="1">
        <v>1</v>
      </c>
      <c r="F88" s="1">
        <v>13</v>
      </c>
      <c r="G88" s="1">
        <v>1</v>
      </c>
      <c r="H88" s="1">
        <v>6</v>
      </c>
      <c r="I88" s="1"/>
      <c r="J88" s="1" t="s">
        <v>16</v>
      </c>
    </row>
    <row r="89" spans="1:10" x14ac:dyDescent="0.25">
      <c r="A89" s="1" t="s">
        <v>0</v>
      </c>
      <c r="B89" s="1">
        <f t="shared" si="1"/>
        <v>932</v>
      </c>
      <c r="C89" s="1" t="s">
        <v>6</v>
      </c>
      <c r="D89" s="1">
        <v>38</v>
      </c>
      <c r="E89" s="1">
        <v>1</v>
      </c>
      <c r="F89" s="1">
        <v>9</v>
      </c>
      <c r="G89" s="1">
        <v>0</v>
      </c>
      <c r="H89" s="1">
        <v>9</v>
      </c>
      <c r="I89" s="1">
        <v>9</v>
      </c>
      <c r="J89" s="1" t="s">
        <v>16</v>
      </c>
    </row>
    <row r="90" spans="1:10" x14ac:dyDescent="0.25">
      <c r="A90" s="1" t="s">
        <v>0</v>
      </c>
      <c r="B90" s="1">
        <f t="shared" si="1"/>
        <v>932</v>
      </c>
      <c r="C90" s="1" t="s">
        <v>6</v>
      </c>
      <c r="D90" s="1">
        <v>36</v>
      </c>
      <c r="E90" s="1">
        <v>2</v>
      </c>
      <c r="F90" s="1">
        <v>8</v>
      </c>
      <c r="G90" s="1">
        <v>2</v>
      </c>
      <c r="H90" s="1">
        <v>11</v>
      </c>
      <c r="I90" s="1"/>
      <c r="J90" s="1"/>
    </row>
    <row r="91" spans="1:10" x14ac:dyDescent="0.25">
      <c r="A91" s="1" t="s">
        <v>0</v>
      </c>
      <c r="B91" s="1">
        <f t="shared" si="1"/>
        <v>932</v>
      </c>
      <c r="C91" s="1" t="s">
        <v>6</v>
      </c>
      <c r="D91" s="1">
        <v>35</v>
      </c>
      <c r="E91" s="1">
        <v>2</v>
      </c>
      <c r="F91" s="1">
        <v>8</v>
      </c>
      <c r="G91" s="1">
        <v>1</v>
      </c>
      <c r="H91" s="1">
        <v>11</v>
      </c>
      <c r="I91" s="1"/>
      <c r="J91" s="1"/>
    </row>
    <row r="92" spans="1:10" x14ac:dyDescent="0.25">
      <c r="A92" s="1" t="s">
        <v>0</v>
      </c>
      <c r="B92" s="1">
        <f t="shared" si="1"/>
        <v>932</v>
      </c>
      <c r="C92" s="1" t="s">
        <v>6</v>
      </c>
      <c r="D92" s="1">
        <v>32</v>
      </c>
      <c r="E92" s="1">
        <v>2</v>
      </c>
      <c r="F92" s="1">
        <v>7</v>
      </c>
      <c r="G92" s="1">
        <v>0</v>
      </c>
      <c r="H92" s="1">
        <v>13</v>
      </c>
      <c r="I92" s="1">
        <v>13</v>
      </c>
      <c r="J92" s="1"/>
    </row>
    <row r="93" spans="1:10" x14ac:dyDescent="0.25">
      <c r="A93" s="1" t="s">
        <v>0</v>
      </c>
      <c r="B93" s="1">
        <f t="shared" si="1"/>
        <v>932</v>
      </c>
      <c r="C93" s="1" t="s">
        <v>6</v>
      </c>
      <c r="D93" s="1">
        <v>30</v>
      </c>
      <c r="E93" s="1">
        <v>3</v>
      </c>
      <c r="F93" s="1">
        <v>7</v>
      </c>
      <c r="G93" s="1">
        <v>0</v>
      </c>
      <c r="H93" s="1">
        <v>10</v>
      </c>
      <c r="I93" s="1">
        <v>10</v>
      </c>
      <c r="J93" s="1" t="s">
        <v>16</v>
      </c>
    </row>
    <row r="94" spans="1:10" x14ac:dyDescent="0.25">
      <c r="A94" s="1" t="s">
        <v>0</v>
      </c>
      <c r="B94" s="1">
        <f t="shared" si="1"/>
        <v>932</v>
      </c>
      <c r="C94" s="1" t="s">
        <v>6</v>
      </c>
      <c r="D94" s="1">
        <v>29</v>
      </c>
      <c r="E94" s="1">
        <v>3</v>
      </c>
      <c r="F94" s="1">
        <v>7</v>
      </c>
      <c r="G94" s="1">
        <v>0</v>
      </c>
      <c r="H94" s="1">
        <v>12</v>
      </c>
      <c r="I94" s="1"/>
      <c r="J94" s="1"/>
    </row>
    <row r="95" spans="1:10" x14ac:dyDescent="0.25">
      <c r="A95" s="1" t="s">
        <v>0</v>
      </c>
      <c r="B95" s="1">
        <f t="shared" si="1"/>
        <v>932</v>
      </c>
      <c r="C95" s="1" t="s">
        <v>6</v>
      </c>
      <c r="D95" s="1">
        <v>34</v>
      </c>
      <c r="E95" s="1">
        <v>3</v>
      </c>
      <c r="F95" s="1">
        <v>6</v>
      </c>
      <c r="G95" s="1">
        <v>0</v>
      </c>
      <c r="H95" s="1">
        <v>14</v>
      </c>
      <c r="I95" s="1">
        <v>14</v>
      </c>
      <c r="J95" s="1"/>
    </row>
    <row r="96" spans="1:10" x14ac:dyDescent="0.25">
      <c r="A96" s="1" t="s">
        <v>0</v>
      </c>
      <c r="B96" s="1">
        <f t="shared" si="1"/>
        <v>932</v>
      </c>
      <c r="C96" s="1" t="s">
        <v>6</v>
      </c>
      <c r="D96" s="1"/>
      <c r="E96" s="1"/>
      <c r="F96" s="1"/>
      <c r="G96" s="1"/>
      <c r="H96" s="1"/>
      <c r="I96" s="1"/>
      <c r="J96" s="1"/>
    </row>
    <row r="97" spans="1:10" x14ac:dyDescent="0.25">
      <c r="A97" s="1" t="s">
        <v>0</v>
      </c>
      <c r="B97" s="1">
        <f t="shared" si="1"/>
        <v>932</v>
      </c>
      <c r="C97" s="1" t="s">
        <v>6</v>
      </c>
      <c r="D97" s="1"/>
      <c r="E97" s="1"/>
      <c r="F97" s="1"/>
      <c r="G97" s="1"/>
      <c r="H97" s="1"/>
      <c r="I97" s="1"/>
      <c r="J97" s="1"/>
    </row>
    <row r="98" spans="1:10" x14ac:dyDescent="0.25">
      <c r="A98" s="1" t="s">
        <v>0</v>
      </c>
      <c r="B98" s="1">
        <f t="shared" si="1"/>
        <v>932</v>
      </c>
      <c r="C98" s="1" t="s">
        <v>6</v>
      </c>
      <c r="D98" s="1"/>
      <c r="E98" s="1"/>
      <c r="F98" s="1"/>
      <c r="G98" s="1"/>
      <c r="H98" s="1"/>
      <c r="I98" s="1"/>
      <c r="J98" s="1"/>
    </row>
    <row r="99" spans="1:10" x14ac:dyDescent="0.25">
      <c r="A99" s="1" t="s">
        <v>0</v>
      </c>
      <c r="B99" s="1">
        <f t="shared" si="1"/>
        <v>932</v>
      </c>
      <c r="C99" s="1" t="s">
        <v>6</v>
      </c>
      <c r="D99" s="1"/>
      <c r="E99" s="1"/>
      <c r="F99" s="1"/>
      <c r="G99" s="1"/>
      <c r="H99" s="1"/>
      <c r="I99" s="1"/>
      <c r="J99" s="1"/>
    </row>
    <row r="100" spans="1:10" x14ac:dyDescent="0.25">
      <c r="A100" s="1" t="s">
        <v>0</v>
      </c>
      <c r="B100" s="1">
        <f t="shared" si="1"/>
        <v>932</v>
      </c>
      <c r="C100" s="1" t="s">
        <v>6</v>
      </c>
      <c r="D100" s="1"/>
      <c r="E100" s="1"/>
      <c r="F100" s="1"/>
      <c r="G100" s="1"/>
      <c r="H100" s="1"/>
      <c r="I100" s="1"/>
      <c r="J100" s="1"/>
    </row>
    <row r="101" spans="1:10" x14ac:dyDescent="0.25">
      <c r="A101" s="1" t="s">
        <v>0</v>
      </c>
      <c r="B101" s="1">
        <f t="shared" si="1"/>
        <v>932</v>
      </c>
      <c r="C101" s="1" t="s">
        <v>6</v>
      </c>
      <c r="D101" s="1"/>
      <c r="E101" s="1"/>
      <c r="F101" s="1"/>
      <c r="G101" s="1"/>
      <c r="H101" s="1"/>
      <c r="I101" s="1"/>
      <c r="J101" s="1"/>
    </row>
    <row r="102" spans="1:10" x14ac:dyDescent="0.25">
      <c r="D102" s="3"/>
    </row>
    <row r="171" spans="7:7" x14ac:dyDescent="0.25">
      <c r="G171">
        <v>1</v>
      </c>
    </row>
  </sheetData>
  <autoFilter ref="A1:J101" xr:uid="{00000000-0009-0000-0000-000000000000}">
    <filterColumn colId="2">
      <filters>
        <filter val="B6"/>
      </filters>
    </filterColumn>
  </autoFilter>
  <pageMargins left="0.7" right="0.7" top="0.75" bottom="0.75" header="0.3" footer="0.3"/>
  <pageSetup orientation="portrait" horizontalDpi="4294967294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101"/>
  <sheetViews>
    <sheetView workbookViewId="0"/>
  </sheetViews>
  <sheetFormatPr defaultColWidth="11.42578125" defaultRowHeight="15" x14ac:dyDescent="0.25"/>
  <sheetData>
    <row r="1" spans="1:1" x14ac:dyDescent="0.25">
      <c r="A1" s="2" t="s">
        <v>17</v>
      </c>
    </row>
    <row r="2" spans="1:1" x14ac:dyDescent="0.25">
      <c r="A2" t="str">
        <f>$A$1&amp;Template!A2&amp;"',"&amp;Template!B2&amp;",'"&amp;Template!C2&amp;"',"&amp;Template!D2&amp;","&amp;Template!E2&amp;","&amp;Template!F2&amp;","&amp;Template!G2&amp;","&amp;IF((Template!H2)="","NULL",(Template!H2))&amp;","&amp;IF((Template!I2)="","NULL",(Template!I2))&amp;","&amp;IF((Template!J2)="","NULL","'"&amp;(Template!J2)&amp;"'")&amp;");"</f>
        <v>INSERT INTO OLAP_SYS.S_CALCULO_STATS (DRAWING_TYPE,DRAWING_ID,B_TYPE,DIGIT,COLOR_UBICACION,UBICACION,LEY_TERCIO,CICLO_APARICION,PRONOS_CICLO,PREFERENCIA_FLAG) VALUES('mrtr',932,'B1',2,1,19,2,4,NULL,NULL);</v>
      </c>
    </row>
    <row r="3" spans="1:1" x14ac:dyDescent="0.25">
      <c r="A3" t="str">
        <f>$A$1&amp;Template!A3&amp;"',"&amp;Template!B3&amp;",'"&amp;Template!C3&amp;"',"&amp;Template!D3&amp;","&amp;Template!E3&amp;","&amp;Template!F3&amp;","&amp;Template!G3&amp;","&amp;IF((Template!H3)="","NULL",(Template!H3))&amp;","&amp;IF((Template!I3)="","NULL",(Template!I3))&amp;","&amp;IF((Template!J3)="","NULL","'"&amp;(Template!J3)&amp;"'")&amp;");"</f>
        <v>INSERT INTO OLAP_SYS.S_CALCULO_STATS (DRAWING_TYPE,DRAWING_ID,B_TYPE,DIGIT,COLOR_UBICACION,UBICACION,LEY_TERCIO,CICLO_APARICION,PRONOS_CICLO,PREFERENCIA_FLAG) VALUES('mrtr',932,'B1',1,1,13,0,6,6,'X');</v>
      </c>
    </row>
    <row r="4" spans="1:1" x14ac:dyDescent="0.25">
      <c r="A4" t="str">
        <f>$A$1&amp;Template!A4&amp;"',"&amp;Template!B4&amp;",'"&amp;Template!C4&amp;"',"&amp;Template!D4&amp;","&amp;Template!E4&amp;","&amp;Template!F4&amp;","&amp;Template!G4&amp;","&amp;IF((Template!H4)="","NULL",(Template!H4))&amp;","&amp;IF((Template!I4)="","NULL",(Template!I4))&amp;","&amp;IF((Template!J4)="","NULL","'"&amp;(Template!J4)&amp;"'")&amp;");"</f>
        <v>INSERT INTO OLAP_SYS.S_CALCULO_STATS (DRAWING_TYPE,DRAWING_ID,B_TYPE,DIGIT,COLOR_UBICACION,UBICACION,LEY_TERCIO,CICLO_APARICION,PRONOS_CICLO,PREFERENCIA_FLAG) VALUES('mrtr',932,'B1',6,1,9,0,9,9,'X');</v>
      </c>
    </row>
    <row r="5" spans="1:1" x14ac:dyDescent="0.25">
      <c r="A5" t="str">
        <f>$A$1&amp;Template!A5&amp;"',"&amp;Template!B5&amp;",'"&amp;Template!C5&amp;"',"&amp;Template!D5&amp;","&amp;Template!E5&amp;","&amp;Template!F5&amp;","&amp;Template!G5&amp;","&amp;IF((Template!H5)="","NULL",(Template!H5))&amp;","&amp;IF((Template!I5)="","NULL",(Template!I5))&amp;","&amp;IF((Template!J5)="","NULL","'"&amp;(Template!J5)&amp;"'")&amp;");"</f>
        <v>INSERT INTO OLAP_SYS.S_CALCULO_STATS (DRAWING_TYPE,DRAWING_ID,B_TYPE,DIGIT,COLOR_UBICACION,UBICACION,LEY_TERCIO,CICLO_APARICION,PRONOS_CICLO,PREFERENCIA_FLAG) VALUES('mrtr',932,'B1',4,2,9,3,10,NULL,NULL);</v>
      </c>
    </row>
    <row r="6" spans="1:1" x14ac:dyDescent="0.25">
      <c r="A6" t="str">
        <f>$A$1&amp;Template!A6&amp;"',"&amp;Template!B6&amp;",'"&amp;Template!C6&amp;"',"&amp;Template!D6&amp;","&amp;Template!E6&amp;","&amp;Template!F6&amp;","&amp;Template!G6&amp;","&amp;IF((Template!H6)="","NULL",(Template!H6))&amp;","&amp;IF((Template!I6)="","NULL",(Template!I6))&amp;","&amp;IF((Template!J6)="","NULL","'"&amp;(Template!J6)&amp;"'")&amp;");"</f>
        <v>INSERT INTO OLAP_SYS.S_CALCULO_STATS (DRAWING_TYPE,DRAWING_ID,B_TYPE,DIGIT,COLOR_UBICACION,UBICACION,LEY_TERCIO,CICLO_APARICION,PRONOS_CICLO,PREFERENCIA_FLAG) VALUES('mrtr',932,'B1',9,2,8,2,8,NULL,NULL);</v>
      </c>
    </row>
    <row r="7" spans="1:1" x14ac:dyDescent="0.25">
      <c r="A7" t="str">
        <f>$A$1&amp;Template!A7&amp;"',"&amp;Template!B7&amp;",'"&amp;Template!C7&amp;"',"&amp;Template!D7&amp;","&amp;Template!E7&amp;","&amp;Template!F7&amp;","&amp;Template!G7&amp;","&amp;IF((Template!H7)="","NULL",(Template!H7))&amp;","&amp;IF((Template!I7)="","NULL",(Template!I7))&amp;","&amp;IF((Template!J7)="","NULL","'"&amp;(Template!J7)&amp;"'")&amp;");"</f>
        <v>INSERT INTO OLAP_SYS.S_CALCULO_STATS (DRAWING_TYPE,DRAWING_ID,B_TYPE,DIGIT,COLOR_UBICACION,UBICACION,LEY_TERCIO,CICLO_APARICION,PRONOS_CICLO,PREFERENCIA_FLAG) VALUES('mrtr',932,'B1',3,2,8,0,12,12,NULL);</v>
      </c>
    </row>
    <row r="8" spans="1:1" x14ac:dyDescent="0.25">
      <c r="A8" t="str">
        <f>$A$1&amp;Template!A8&amp;"',"&amp;Template!B8&amp;",'"&amp;Template!C8&amp;"',"&amp;Template!D8&amp;","&amp;Template!E8&amp;","&amp;Template!F8&amp;","&amp;Template!G8&amp;","&amp;IF((Template!H8)="","NULL",(Template!H8))&amp;","&amp;IF((Template!I8)="","NULL",(Template!I8))&amp;","&amp;IF((Template!J8)="","NULL","'"&amp;(Template!J8)&amp;"'")&amp;");"</f>
        <v>INSERT INTO OLAP_SYS.S_CALCULO_STATS (DRAWING_TYPE,DRAWING_ID,B_TYPE,DIGIT,COLOR_UBICACION,UBICACION,LEY_TERCIO,CICLO_APARICION,PRONOS_CICLO,PREFERENCIA_FLAG) VALUES('mrtr',932,'B1',7,3,7,0,13,13,NULL);</v>
      </c>
    </row>
    <row r="9" spans="1:1" x14ac:dyDescent="0.25">
      <c r="A9" t="str">
        <f>$A$1&amp;Template!A9&amp;"',"&amp;Template!B9&amp;",'"&amp;Template!C9&amp;"',"&amp;Template!D9&amp;","&amp;Template!E9&amp;","&amp;Template!F9&amp;","&amp;Template!G9&amp;","&amp;IF((Template!H9)="","NULL",(Template!H9))&amp;","&amp;IF((Template!I9)="","NULL",(Template!I9))&amp;","&amp;IF((Template!J9)="","NULL","'"&amp;(Template!J9)&amp;"'")&amp;");"</f>
        <v>INSERT INTO OLAP_SYS.S_CALCULO_STATS (DRAWING_TYPE,DRAWING_ID,B_TYPE,DIGIT,COLOR_UBICACION,UBICACION,LEY_TERCIO,CICLO_APARICION,PRONOS_CICLO,PREFERENCIA_FLAG) VALUES('mrtr',932,'B1',8,3,6,0,14,14,NULL);</v>
      </c>
    </row>
    <row r="10" spans="1:1" x14ac:dyDescent="0.25">
      <c r="A10" t="str">
        <f>$A$1&amp;Template!A10&amp;"',"&amp;Template!B10&amp;",'"&amp;Template!C10&amp;"',"&amp;Template!D10&amp;","&amp;Template!E10&amp;","&amp;Template!F10&amp;","&amp;Template!G10&amp;","&amp;IF((Template!H10)="","NULL",(Template!H10))&amp;","&amp;IF((Template!I10)="","NULL",(Template!I10))&amp;","&amp;IF((Template!J10)="","NULL","'"&amp;(Template!J10)&amp;"'")&amp;");"</f>
        <v>INSERT INTO OLAP_SYS.S_CALCULO_STATS (DRAWING_TYPE,DRAWING_ID,B_TYPE,DIGIT,COLOR_UBICACION,UBICACION,LEY_TERCIO,CICLO_APARICION,PRONOS_CICLO,PREFERENCIA_FLAG) VALUES('mrtr',932,'B1',10,3,5,1,12,NULL,NULL);</v>
      </c>
    </row>
    <row r="11" spans="1:1" x14ac:dyDescent="0.25">
      <c r="A11" t="str">
        <f>$A$1&amp;Template!A11&amp;"',"&amp;Template!B11&amp;",'"&amp;Template!C11&amp;"',"&amp;Template!D11&amp;","&amp;Template!E11&amp;","&amp;Template!F11&amp;","&amp;Template!G11&amp;","&amp;IF((Template!H11)="","NULL",(Template!H11))&amp;","&amp;IF((Template!I11)="","NULL",(Template!I11))&amp;","&amp;IF((Template!J11)="","NULL","'"&amp;(Template!J11)&amp;"'")&amp;");"</f>
        <v>INSERT INTO OLAP_SYS.S_CALCULO_STATS (DRAWING_TYPE,DRAWING_ID,B_TYPE,DIGIT,COLOR_UBICACION,UBICACION,LEY_TERCIO,CICLO_APARICION,PRONOS_CICLO,PREFERENCIA_FLAG) VALUES('mrtr',932,'B1',,,,,NULL,NULL,NULL);</v>
      </c>
    </row>
    <row r="12" spans="1:1" x14ac:dyDescent="0.25">
      <c r="A12" t="str">
        <f>$A$1&amp;Template!A12&amp;"',"&amp;Template!B12&amp;",'"&amp;Template!C12&amp;"',"&amp;Template!D12&amp;","&amp;Template!E12&amp;","&amp;Template!F12&amp;","&amp;Template!G12&amp;","&amp;IF((Template!H12)="","NULL",(Template!H12))&amp;","&amp;IF((Template!I12)="","NULL",(Template!I12))&amp;","&amp;IF((Template!J12)="","NULL","'"&amp;(Template!J12)&amp;"'")&amp;");"</f>
        <v>INSERT INTO OLAP_SYS.S_CALCULO_STATS (DRAWING_TYPE,DRAWING_ID,B_TYPE,DIGIT,COLOR_UBICACION,UBICACION,LEY_TERCIO,CICLO_APARICION,PRONOS_CICLO,PREFERENCIA_FLAG) VALUES('mrtr',932,'B1',,,,,NULL,NULL,NULL);</v>
      </c>
    </row>
    <row r="13" spans="1:1" x14ac:dyDescent="0.25">
      <c r="A13" t="str">
        <f>$A$1&amp;Template!A13&amp;"',"&amp;Template!B13&amp;",'"&amp;Template!C13&amp;"',"&amp;Template!D13&amp;","&amp;Template!E13&amp;","&amp;Template!F13&amp;","&amp;Template!G13&amp;","&amp;IF((Template!H13)="","NULL",(Template!H13))&amp;","&amp;IF((Template!I13)="","NULL",(Template!I13))&amp;","&amp;IF((Template!J13)="","NULL","'"&amp;(Template!J13)&amp;"'")&amp;");"</f>
        <v>INSERT INTO OLAP_SYS.S_CALCULO_STATS (DRAWING_TYPE,DRAWING_ID,B_TYPE,DIGIT,COLOR_UBICACION,UBICACION,LEY_TERCIO,CICLO_APARICION,PRONOS_CICLO,PREFERENCIA_FLAG) VALUES('mrtr',932,'B1',,,,,NULL,NULL,NULL);</v>
      </c>
    </row>
    <row r="14" spans="1:1" x14ac:dyDescent="0.25">
      <c r="A14" t="str">
        <f>$A$1&amp;Template!A14&amp;"',"&amp;Template!B14&amp;",'"&amp;Template!C14&amp;"',"&amp;Template!D14&amp;","&amp;Template!E14&amp;","&amp;Template!F14&amp;","&amp;Template!G14&amp;","&amp;IF((Template!H14)="","NULL",(Template!H14))&amp;","&amp;IF((Template!I14)="","NULL",(Template!I14))&amp;","&amp;IF((Template!J14)="","NULL","'"&amp;(Template!J14)&amp;"'")&amp;");"</f>
        <v>INSERT INTO OLAP_SYS.S_CALCULO_STATS (DRAWING_TYPE,DRAWING_ID,B_TYPE,DIGIT,COLOR_UBICACION,UBICACION,LEY_TERCIO,CICLO_APARICION,PRONOS_CICLO,PREFERENCIA_FLAG) VALUES('mrtr',932,'B1',,,,,NULL,NULL,NULL);</v>
      </c>
    </row>
    <row r="15" spans="1:1" x14ac:dyDescent="0.25">
      <c r="A15" t="str">
        <f>$A$1&amp;Template!A15&amp;"',"&amp;Template!B15&amp;",'"&amp;Template!C15&amp;"',"&amp;Template!D15&amp;","&amp;Template!E15&amp;","&amp;Template!F15&amp;","&amp;Template!G15&amp;","&amp;IF((Template!H15)="","NULL",(Template!H15))&amp;","&amp;IF((Template!I15)="","NULL",(Template!I15))&amp;","&amp;IF((Template!J15)="","NULL","'"&amp;(Template!J15)&amp;"'")&amp;");"</f>
        <v>INSERT INTO OLAP_SYS.S_CALCULO_STATS (DRAWING_TYPE,DRAWING_ID,B_TYPE,DIGIT,COLOR_UBICACION,UBICACION,LEY_TERCIO,CICLO_APARICION,PRONOS_CICLO,PREFERENCIA_FLAG) VALUES('mrtr',932,'B1',,,,,NULL,NULL,NULL);</v>
      </c>
    </row>
    <row r="16" spans="1:1" x14ac:dyDescent="0.25">
      <c r="A16" t="str">
        <f>$A$1&amp;Template!A16&amp;"',"&amp;Template!B16&amp;",'"&amp;Template!C16&amp;"',"&amp;Template!D16&amp;","&amp;Template!E16&amp;","&amp;Template!F16&amp;","&amp;Template!G16&amp;","&amp;IF((Template!H16)="","NULL",(Template!H16))&amp;","&amp;IF((Template!I16)="","NULL",(Template!I16))&amp;","&amp;IF((Template!J16)="","NULL","'"&amp;(Template!J16)&amp;"'")&amp;");"</f>
        <v>INSERT INTO OLAP_SYS.S_CALCULO_STATS (DRAWING_TYPE,DRAWING_ID,B_TYPE,DIGIT,COLOR_UBICACION,UBICACION,LEY_TERCIO,CICLO_APARICION,PRONOS_CICLO,PREFERENCIA_FLAG) VALUES('mrtr',932,'B1',,,,,NULL,NULL,NULL);</v>
      </c>
    </row>
    <row r="17" spans="1:1" x14ac:dyDescent="0.25">
      <c r="A17" t="str">
        <f>$A$1&amp;Template!A17&amp;"',"&amp;Template!B17&amp;",'"&amp;Template!C17&amp;"',"&amp;Template!D17&amp;","&amp;Template!E17&amp;","&amp;Template!F17&amp;","&amp;Template!G17&amp;","&amp;IF((Template!H17)="","NULL",(Template!H17))&amp;","&amp;IF((Template!I17)="","NULL",(Template!I17))&amp;","&amp;IF((Template!J17)="","NULL","'"&amp;(Template!J17)&amp;"'")&amp;");"</f>
        <v>INSERT INTO OLAP_SYS.S_CALCULO_STATS (DRAWING_TYPE,DRAWING_ID,B_TYPE,DIGIT,COLOR_UBICACION,UBICACION,LEY_TERCIO,CICLO_APARICION,PRONOS_CICLO,PREFERENCIA_FLAG) VALUES('mrtr',932,'B2',9,1,11,1,8,8,'X');</v>
      </c>
    </row>
    <row r="18" spans="1:1" x14ac:dyDescent="0.25">
      <c r="A18" t="str">
        <f>$A$1&amp;Template!A18&amp;"',"&amp;Template!B18&amp;",'"&amp;Template!C18&amp;"',"&amp;Template!D18&amp;","&amp;Template!E18&amp;","&amp;Template!F18&amp;","&amp;Template!G18&amp;","&amp;IF((Template!H18)="","NULL",(Template!H18))&amp;","&amp;IF((Template!I18)="","NULL",(Template!I18))&amp;","&amp;IF((Template!J18)="","NULL","'"&amp;(Template!J18)&amp;"'")&amp;");"</f>
        <v>INSERT INTO OLAP_SYS.S_CALCULO_STATS (DRAWING_TYPE,DRAWING_ID,B_TYPE,DIGIT,COLOR_UBICACION,UBICACION,LEY_TERCIO,CICLO_APARICION,PRONOS_CICLO,PREFERENCIA_FLAG) VALUES('mrtr',932,'B2',13,1,9,3,7,NULL,NULL);</v>
      </c>
    </row>
    <row r="19" spans="1:1" x14ac:dyDescent="0.25">
      <c r="A19" t="str">
        <f>$A$1&amp;Template!A19&amp;"',"&amp;Template!B19&amp;",'"&amp;Template!C19&amp;"',"&amp;Template!D19&amp;","&amp;Template!E19&amp;","&amp;Template!F19&amp;","&amp;Template!G19&amp;","&amp;IF((Template!H19)="","NULL",(Template!H19))&amp;","&amp;IF((Template!I19)="","NULL",(Template!I19))&amp;","&amp;IF((Template!J19)="","NULL","'"&amp;(Template!J19)&amp;"'")&amp;");"</f>
        <v>INSERT INTO OLAP_SYS.S_CALCULO_STATS (DRAWING_TYPE,DRAWING_ID,B_TYPE,DIGIT,COLOR_UBICACION,UBICACION,LEY_TERCIO,CICLO_APARICION,PRONOS_CICLO,PREFERENCIA_FLAG) VALUES('mrtr',932,'B2',8,1,9,0,10,10,'X');</v>
      </c>
    </row>
    <row r="20" spans="1:1" x14ac:dyDescent="0.25">
      <c r="A20" t="str">
        <f>$A$1&amp;Template!A20&amp;"',"&amp;Template!B20&amp;",'"&amp;Template!C20&amp;"',"&amp;Template!D20&amp;","&amp;Template!E20&amp;","&amp;Template!F20&amp;","&amp;Template!G20&amp;","&amp;IF((Template!H20)="","NULL",(Template!H20))&amp;","&amp;IF((Template!I20)="","NULL",(Template!I20))&amp;","&amp;IF((Template!J20)="","NULL","'"&amp;(Template!J20)&amp;"'")&amp;");"</f>
        <v>INSERT INTO OLAP_SYS.S_CALCULO_STATS (DRAWING_TYPE,DRAWING_ID,B_TYPE,DIGIT,COLOR_UBICACION,UBICACION,LEY_TERCIO,CICLO_APARICION,PRONOS_CICLO,PREFERENCIA_FLAG) VALUES('mrtr',932,'B2',12,1,7,2,13,NULL,NULL);</v>
      </c>
    </row>
    <row r="21" spans="1:1" x14ac:dyDescent="0.25">
      <c r="A21" t="str">
        <f>$A$1&amp;Template!A21&amp;"',"&amp;Template!B21&amp;",'"&amp;Template!C21&amp;"',"&amp;Template!D21&amp;","&amp;Template!E21&amp;","&amp;Template!F21&amp;","&amp;Template!G21&amp;","&amp;IF((Template!H21)="","NULL",(Template!H21))&amp;","&amp;IF((Template!I21)="","NULL",(Template!I21))&amp;","&amp;IF((Template!J21)="","NULL","'"&amp;(Template!J21)&amp;"'")&amp;");"</f>
        <v>INSERT INTO OLAP_SYS.S_CALCULO_STATS (DRAWING_TYPE,DRAWING_ID,B_TYPE,DIGIT,COLOR_UBICACION,UBICACION,LEY_TERCIO,CICLO_APARICION,PRONOS_CICLO,PREFERENCIA_FLAG) VALUES('mrtr',932,'B2',14,2,6,0,12,12,'X');</v>
      </c>
    </row>
    <row r="22" spans="1:1" x14ac:dyDescent="0.25">
      <c r="A22" t="str">
        <f>$A$1&amp;Template!A22&amp;"',"&amp;Template!B22&amp;",'"&amp;Template!C22&amp;"',"&amp;Template!D22&amp;","&amp;Template!E22&amp;","&amp;Template!F22&amp;","&amp;Template!G22&amp;","&amp;IF((Template!H22)="","NULL",(Template!H22))&amp;","&amp;IF((Template!I22)="","NULL",(Template!I22))&amp;","&amp;IF((Template!J22)="","NULL","'"&amp;(Template!J22)&amp;"'")&amp;");"</f>
        <v>INSERT INTO OLAP_SYS.S_CALCULO_STATS (DRAWING_TYPE,DRAWING_ID,B_TYPE,DIGIT,COLOR_UBICACION,UBICACION,LEY_TERCIO,CICLO_APARICION,PRONOS_CICLO,PREFERENCIA_FLAG) VALUES('mrtr',932,'B2',6,2,6,0,15,15,NULL);</v>
      </c>
    </row>
    <row r="23" spans="1:1" x14ac:dyDescent="0.25">
      <c r="A23" t="str">
        <f>$A$1&amp;Template!A23&amp;"',"&amp;Template!B23&amp;",'"&amp;Template!C23&amp;"',"&amp;Template!D23&amp;","&amp;Template!E23&amp;","&amp;Template!F23&amp;","&amp;Template!G23&amp;","&amp;IF((Template!H23)="","NULL",(Template!H23))&amp;","&amp;IF((Template!I23)="","NULL",(Template!I23))&amp;","&amp;IF((Template!J23)="","NULL","'"&amp;(Template!J23)&amp;"'")&amp;");"</f>
        <v>INSERT INTO OLAP_SYS.S_CALCULO_STATS (DRAWING_TYPE,DRAWING_ID,B_TYPE,DIGIT,COLOR_UBICACION,UBICACION,LEY_TERCIO,CICLO_APARICION,PRONOS_CICLO,PREFERENCIA_FLAG) VALUES('mrtr',932,'B2',5,2,6,1,13,NULL,'X');</v>
      </c>
    </row>
    <row r="24" spans="1:1" x14ac:dyDescent="0.25">
      <c r="A24" t="str">
        <f>$A$1&amp;Template!A24&amp;"',"&amp;Template!B24&amp;",'"&amp;Template!C24&amp;"',"&amp;Template!D24&amp;","&amp;Template!E24&amp;","&amp;Template!F24&amp;","&amp;Template!G24&amp;","&amp;IF((Template!H24)="","NULL",(Template!H24))&amp;","&amp;IF((Template!I24)="","NULL",(Template!I24))&amp;","&amp;IF((Template!J24)="","NULL","'"&amp;(Template!J24)&amp;"'")&amp;");"</f>
        <v>INSERT INTO OLAP_SYS.S_CALCULO_STATS (DRAWING_TYPE,DRAWING_ID,B_TYPE,DIGIT,COLOR_UBICACION,UBICACION,LEY_TERCIO,CICLO_APARICION,PRONOS_CICLO,PREFERENCIA_FLAG) VALUES('mrtr',932,'B2',16,2,5,0,18,NULL,NULL);</v>
      </c>
    </row>
    <row r="25" spans="1:1" x14ac:dyDescent="0.25">
      <c r="A25" t="str">
        <f>$A$1&amp;Template!A25&amp;"',"&amp;Template!B25&amp;",'"&amp;Template!C25&amp;"',"&amp;Template!D25&amp;","&amp;Template!E25&amp;","&amp;Template!F25&amp;","&amp;Template!G25&amp;","&amp;IF((Template!H25)="","NULL",(Template!H25))&amp;","&amp;IF((Template!I25)="","NULL",(Template!I25))&amp;","&amp;IF((Template!J25)="","NULL","'"&amp;(Template!J25)&amp;"'")&amp;");"</f>
        <v>INSERT INTO OLAP_SYS.S_CALCULO_STATS (DRAWING_TYPE,DRAWING_ID,B_TYPE,DIGIT,COLOR_UBICACION,UBICACION,LEY_TERCIO,CICLO_APARICION,PRONOS_CICLO,PREFERENCIA_FLAG) VALUES('mrtr',932,'B2',10,3,5,2,15,NULL,NULL);</v>
      </c>
    </row>
    <row r="26" spans="1:1" x14ac:dyDescent="0.25">
      <c r="A26" t="str">
        <f>$A$1&amp;Template!A26&amp;"',"&amp;Template!B26&amp;",'"&amp;Template!C26&amp;"',"&amp;Template!D26&amp;","&amp;Template!E26&amp;","&amp;Template!F26&amp;","&amp;Template!G26&amp;","&amp;IF((Template!H26)="","NULL",(Template!H26))&amp;","&amp;IF((Template!I26)="","NULL",(Template!I26))&amp;","&amp;IF((Template!J26)="","NULL","'"&amp;(Template!J26)&amp;"'")&amp;");"</f>
        <v>INSERT INTO OLAP_SYS.S_CALCULO_STATS (DRAWING_TYPE,DRAWING_ID,B_TYPE,DIGIT,COLOR_UBICACION,UBICACION,LEY_TERCIO,CICLO_APARICION,PRONOS_CICLO,PREFERENCIA_FLAG) VALUES('mrtr',932,'B2',7,3,5,1,16,NULL,NULL);</v>
      </c>
    </row>
    <row r="27" spans="1:1" x14ac:dyDescent="0.25">
      <c r="A27" t="str">
        <f>$A$1&amp;Template!A27&amp;"',"&amp;Template!B27&amp;",'"&amp;Template!C27&amp;"',"&amp;Template!D27&amp;","&amp;Template!E27&amp;","&amp;Template!F27&amp;","&amp;Template!G27&amp;","&amp;IF((Template!H27)="","NULL",(Template!H27))&amp;","&amp;IF((Template!I27)="","NULL",(Template!I27))&amp;","&amp;IF((Template!J27)="","NULL","'"&amp;(Template!J27)&amp;"'")&amp;");"</f>
        <v>INSERT INTO OLAP_SYS.S_CALCULO_STATS (DRAWING_TYPE,DRAWING_ID,B_TYPE,DIGIT,COLOR_UBICACION,UBICACION,LEY_TERCIO,CICLO_APARICION,PRONOS_CICLO,PREFERENCIA_FLAG) VALUES('mrtr',932,'B2',4,3,4,0,20,20,NULL);</v>
      </c>
    </row>
    <row r="28" spans="1:1" x14ac:dyDescent="0.25">
      <c r="A28" t="str">
        <f>$A$1&amp;Template!A28&amp;"',"&amp;Template!B28&amp;",'"&amp;Template!C28&amp;"',"&amp;Template!D28&amp;","&amp;Template!E28&amp;","&amp;Template!F28&amp;","&amp;Template!G28&amp;","&amp;IF((Template!H28)="","NULL",(Template!H28))&amp;","&amp;IF((Template!I28)="","NULL",(Template!I28))&amp;","&amp;IF((Template!J28)="","NULL","'"&amp;(Template!J28)&amp;"'")&amp;");"</f>
        <v>INSERT INTO OLAP_SYS.S_CALCULO_STATS (DRAWING_TYPE,DRAWING_ID,B_TYPE,DIGIT,COLOR_UBICACION,UBICACION,LEY_TERCIO,CICLO_APARICION,PRONOS_CICLO,PREFERENCIA_FLAG) VALUES('mrtr',932,'B2',3,3,4,1,22,NULL,NULL);</v>
      </c>
    </row>
    <row r="29" spans="1:1" x14ac:dyDescent="0.25">
      <c r="A29" t="str">
        <f>$A$1&amp;Template!A29&amp;"',"&amp;Template!B29&amp;",'"&amp;Template!C29&amp;"',"&amp;Template!D29&amp;","&amp;Template!E29&amp;","&amp;Template!F29&amp;","&amp;Template!G29&amp;","&amp;IF((Template!H29)="","NULL",(Template!H29))&amp;","&amp;IF((Template!I29)="","NULL",(Template!I29))&amp;","&amp;IF((Template!J29)="","NULL","'"&amp;(Template!J29)&amp;"'")&amp;");"</f>
        <v>INSERT INTO OLAP_SYS.S_CALCULO_STATS (DRAWING_TYPE,DRAWING_ID,B_TYPE,DIGIT,COLOR_UBICACION,UBICACION,LEY_TERCIO,CICLO_APARICION,PRONOS_CICLO,PREFERENCIA_FLAG) VALUES('mrtr',932,'B2',,,,,NULL,NULL,NULL);</v>
      </c>
    </row>
    <row r="30" spans="1:1" x14ac:dyDescent="0.25">
      <c r="A30" t="str">
        <f>$A$1&amp;Template!A30&amp;"',"&amp;Template!B30&amp;",'"&amp;Template!C30&amp;"',"&amp;Template!D30&amp;","&amp;Template!E30&amp;","&amp;Template!F30&amp;","&amp;Template!G30&amp;","&amp;IF((Template!H30)="","NULL",(Template!H30))&amp;","&amp;IF((Template!I30)="","NULL",(Template!I30))&amp;","&amp;IF((Template!J30)="","NULL","'"&amp;(Template!J30)&amp;"'")&amp;");"</f>
        <v>INSERT INTO OLAP_SYS.S_CALCULO_STATS (DRAWING_TYPE,DRAWING_ID,B_TYPE,DIGIT,COLOR_UBICACION,UBICACION,LEY_TERCIO,CICLO_APARICION,PRONOS_CICLO,PREFERENCIA_FLAG) VALUES('mrtr',932,'B2',,,,,NULL,NULL,NULL);</v>
      </c>
    </row>
    <row r="31" spans="1:1" x14ac:dyDescent="0.25">
      <c r="A31" t="str">
        <f>$A$1&amp;Template!A31&amp;"',"&amp;Template!B31&amp;",'"&amp;Template!C31&amp;"',"&amp;Template!D31&amp;","&amp;Template!E31&amp;","&amp;Template!F31&amp;","&amp;Template!G31&amp;","&amp;IF((Template!H31)="","NULL",(Template!H31))&amp;","&amp;IF((Template!I31)="","NULL",(Template!I31))&amp;","&amp;IF((Template!J31)="","NULL","'"&amp;(Template!J31)&amp;"'")&amp;");"</f>
        <v>INSERT INTO OLAP_SYS.S_CALCULO_STATS (DRAWING_TYPE,DRAWING_ID,B_TYPE,DIGIT,COLOR_UBICACION,UBICACION,LEY_TERCIO,CICLO_APARICION,PRONOS_CICLO,PREFERENCIA_FLAG) VALUES('mrtr',932,'B2',,,,,NULL,NULL,NULL);</v>
      </c>
    </row>
    <row r="32" spans="1:1" x14ac:dyDescent="0.25">
      <c r="A32" t="str">
        <f>$A$1&amp;Template!A32&amp;"',"&amp;Template!B32&amp;",'"&amp;Template!C32&amp;"',"&amp;Template!D32&amp;","&amp;Template!E32&amp;","&amp;Template!F32&amp;","&amp;Template!G32&amp;","&amp;IF((Template!H32)="","NULL",(Template!H32))&amp;","&amp;IF((Template!I32)="","NULL",(Template!I32))&amp;","&amp;IF((Template!J32)="","NULL","'"&amp;(Template!J32)&amp;"'")&amp;");"</f>
        <v>INSERT INTO OLAP_SYS.S_CALCULO_STATS (DRAWING_TYPE,DRAWING_ID,B_TYPE,DIGIT,COLOR_UBICACION,UBICACION,LEY_TERCIO,CICLO_APARICION,PRONOS_CICLO,PREFERENCIA_FLAG) VALUES('mrtr',932,'B2',,,,,NULL,NULL,NULL);</v>
      </c>
    </row>
    <row r="33" spans="1:1" x14ac:dyDescent="0.25">
      <c r="A33" t="str">
        <f>$A$1&amp;Template!A33&amp;"',"&amp;Template!B33&amp;",'"&amp;Template!C33&amp;"',"&amp;Template!D33&amp;","&amp;Template!E33&amp;","&amp;Template!F33&amp;","&amp;Template!G33&amp;","&amp;IF((Template!H33)="","NULL",(Template!H33))&amp;","&amp;IF((Template!I33)="","NULL",(Template!I33))&amp;","&amp;IF((Template!J33)="","NULL","'"&amp;(Template!J33)&amp;"'")&amp;");"</f>
        <v>INSERT INTO OLAP_SYS.S_CALCULO_STATS (DRAWING_TYPE,DRAWING_ID,B_TYPE,DIGIT,COLOR_UBICACION,UBICACION,LEY_TERCIO,CICLO_APARICION,PRONOS_CICLO,PREFERENCIA_FLAG) VALUES('mrtr',932,'B3',24,1,7,0,12,12,'X');</v>
      </c>
    </row>
    <row r="34" spans="1:1" x14ac:dyDescent="0.25">
      <c r="A34" t="str">
        <f>$A$1&amp;Template!A34&amp;"',"&amp;Template!B34&amp;",'"&amp;Template!C34&amp;"',"&amp;Template!D34&amp;","&amp;Template!E34&amp;","&amp;Template!F34&amp;","&amp;Template!G34&amp;","&amp;IF((Template!H34)="","NULL",(Template!H34))&amp;","&amp;IF((Template!I34)="","NULL",(Template!I34))&amp;","&amp;IF((Template!J34)="","NULL","'"&amp;(Template!J34)&amp;"'")&amp;");"</f>
        <v>INSERT INTO OLAP_SYS.S_CALCULO_STATS (DRAWING_TYPE,DRAWING_ID,B_TYPE,DIGIT,COLOR_UBICACION,UBICACION,LEY_TERCIO,CICLO_APARICION,PRONOS_CICLO,PREFERENCIA_FLAG) VALUES('mrtr',932,'B3',13,1,7,2,13,NULL,NULL);</v>
      </c>
    </row>
    <row r="35" spans="1:1" x14ac:dyDescent="0.25">
      <c r="A35" t="str">
        <f>$A$1&amp;Template!A35&amp;"',"&amp;Template!B35&amp;",'"&amp;Template!C35&amp;"',"&amp;Template!D35&amp;","&amp;Template!E35&amp;","&amp;Template!F35&amp;","&amp;Template!G35&amp;","&amp;IF((Template!H35)="","NULL",(Template!H35))&amp;","&amp;IF((Template!I35)="","NULL",(Template!I35))&amp;","&amp;IF((Template!J35)="","NULL","'"&amp;(Template!J35)&amp;"'")&amp;");"</f>
        <v>INSERT INTO OLAP_SYS.S_CALCULO_STATS (DRAWING_TYPE,DRAWING_ID,B_TYPE,DIGIT,COLOR_UBICACION,UBICACION,LEY_TERCIO,CICLO_APARICION,PRONOS_CICLO,PREFERENCIA_FLAG) VALUES('mrtr',932,'B3',25,1,6,0,16,16,'X');</v>
      </c>
    </row>
    <row r="36" spans="1:1" x14ac:dyDescent="0.25">
      <c r="A36" t="str">
        <f>$A$1&amp;Template!A36&amp;"',"&amp;Template!B36&amp;",'"&amp;Template!C36&amp;"',"&amp;Template!D36&amp;","&amp;Template!E36&amp;","&amp;Template!F36&amp;","&amp;Template!G36&amp;","&amp;IF((Template!H36)="","NULL",(Template!H36))&amp;","&amp;IF((Template!I36)="","NULL",(Template!I36))&amp;","&amp;IF((Template!J36)="","NULL","'"&amp;(Template!J36)&amp;"'")&amp;");"</f>
        <v>INSERT INTO OLAP_SYS.S_CALCULO_STATS (DRAWING_TYPE,DRAWING_ID,B_TYPE,DIGIT,COLOR_UBICACION,UBICACION,LEY_TERCIO,CICLO_APARICION,PRONOS_CICLO,PREFERENCIA_FLAG) VALUES('mrtr',932,'B3',19,1,6,2,15,NULL,NULL);</v>
      </c>
    </row>
    <row r="37" spans="1:1" x14ac:dyDescent="0.25">
      <c r="A37" t="str">
        <f>$A$1&amp;Template!A37&amp;"',"&amp;Template!B37&amp;",'"&amp;Template!C37&amp;"',"&amp;Template!D37&amp;","&amp;Template!E37&amp;","&amp;Template!F37&amp;","&amp;Template!G37&amp;","&amp;IF((Template!H37)="","NULL",(Template!H37))&amp;","&amp;IF((Template!I37)="","NULL",(Template!I37))&amp;","&amp;IF((Template!J37)="","NULL","'"&amp;(Template!J37)&amp;"'")&amp;");"</f>
        <v>INSERT INTO OLAP_SYS.S_CALCULO_STATS (DRAWING_TYPE,DRAWING_ID,B_TYPE,DIGIT,COLOR_UBICACION,UBICACION,LEY_TERCIO,CICLO_APARICION,PRONOS_CICLO,PREFERENCIA_FLAG) VALUES('mrtr',932,'B3',12,1,6,0,15,15,'X');</v>
      </c>
    </row>
    <row r="38" spans="1:1" x14ac:dyDescent="0.25">
      <c r="A38" t="str">
        <f>$A$1&amp;Template!A38&amp;"',"&amp;Template!B38&amp;",'"&amp;Template!C38&amp;"',"&amp;Template!D38&amp;","&amp;Template!E38&amp;","&amp;Template!F38&amp;","&amp;Template!G38&amp;","&amp;IF((Template!H38)="","NULL",(Template!H38))&amp;","&amp;IF((Template!I38)="","NULL",(Template!I38))&amp;","&amp;IF((Template!J38)="","NULL","'"&amp;(Template!J38)&amp;"'")&amp;");"</f>
        <v>INSERT INTO OLAP_SYS.S_CALCULO_STATS (DRAWING_TYPE,DRAWING_ID,B_TYPE,DIGIT,COLOR_UBICACION,UBICACION,LEY_TERCIO,CICLO_APARICION,PRONOS_CICLO,PREFERENCIA_FLAG) VALUES('mrtr',932,'B3',10,1,6,1,12,12,'X');</v>
      </c>
    </row>
    <row r="39" spans="1:1" x14ac:dyDescent="0.25">
      <c r="A39" t="str">
        <f>$A$1&amp;Template!A39&amp;"',"&amp;Template!B39&amp;",'"&amp;Template!C39&amp;"',"&amp;Template!D39&amp;","&amp;Template!E39&amp;","&amp;Template!F39&amp;","&amp;Template!G39&amp;","&amp;IF((Template!H39)="","NULL",(Template!H39))&amp;","&amp;IF((Template!I39)="","NULL",(Template!I39))&amp;","&amp;IF((Template!J39)="","NULL","'"&amp;(Template!J39)&amp;"'")&amp;");"</f>
        <v>INSERT INTO OLAP_SYS.S_CALCULO_STATS (DRAWING_TYPE,DRAWING_ID,B_TYPE,DIGIT,COLOR_UBICACION,UBICACION,LEY_TERCIO,CICLO_APARICION,PRONOS_CICLO,PREFERENCIA_FLAG) VALUES('mrtr',932,'B3',23,2,5,1,17,NULL,'X');</v>
      </c>
    </row>
    <row r="40" spans="1:1" x14ac:dyDescent="0.25">
      <c r="A40" t="str">
        <f>$A$1&amp;Template!A40&amp;"',"&amp;Template!B40&amp;",'"&amp;Template!C40&amp;"',"&amp;Template!D40&amp;","&amp;Template!E40&amp;","&amp;Template!F40&amp;","&amp;Template!G40&amp;","&amp;IF((Template!H40)="","NULL",(Template!H40))&amp;","&amp;IF((Template!I40)="","NULL",(Template!I40))&amp;","&amp;IF((Template!J40)="","NULL","'"&amp;(Template!J40)&amp;"'")&amp;");"</f>
        <v>INSERT INTO OLAP_SYS.S_CALCULO_STATS (DRAWING_TYPE,DRAWING_ID,B_TYPE,DIGIT,COLOR_UBICACION,UBICACION,LEY_TERCIO,CICLO_APARICION,PRONOS_CICLO,PREFERENCIA_FLAG) VALUES('mrtr',932,'B3',21,2,5,0,9,9,'X');</v>
      </c>
    </row>
    <row r="41" spans="1:1" x14ac:dyDescent="0.25">
      <c r="A41" t="str">
        <f>$A$1&amp;Template!A41&amp;"',"&amp;Template!B41&amp;",'"&amp;Template!C41&amp;"',"&amp;Template!D41&amp;","&amp;Template!E41&amp;","&amp;Template!F41&amp;","&amp;Template!G41&amp;","&amp;IF((Template!H41)="","NULL",(Template!H41))&amp;","&amp;IF((Template!I41)="","NULL",(Template!I41))&amp;","&amp;IF((Template!J41)="","NULL","'"&amp;(Template!J41)&amp;"'")&amp;");"</f>
        <v>INSERT INTO OLAP_SYS.S_CALCULO_STATS (DRAWING_TYPE,DRAWING_ID,B_TYPE,DIGIT,COLOR_UBICACION,UBICACION,LEY_TERCIO,CICLO_APARICION,PRONOS_CICLO,PREFERENCIA_FLAG) VALUES('mrtr',932,'B3',18,2,5,1,18,NULL,NULL);</v>
      </c>
    </row>
    <row r="42" spans="1:1" x14ac:dyDescent="0.25">
      <c r="A42" t="str">
        <f>$A$1&amp;Template!A42&amp;"',"&amp;Template!B42&amp;",'"&amp;Template!C42&amp;"',"&amp;Template!D42&amp;","&amp;Template!E42&amp;","&amp;Template!F42&amp;","&amp;Template!G42&amp;","&amp;IF((Template!H42)="","NULL",(Template!H42))&amp;","&amp;IF((Template!I42)="","NULL",(Template!I42))&amp;","&amp;IF((Template!J42)="","NULL","'"&amp;(Template!J42)&amp;"'")&amp;");"</f>
        <v>INSERT INTO OLAP_SYS.S_CALCULO_STATS (DRAWING_TYPE,DRAWING_ID,B_TYPE,DIGIT,COLOR_UBICACION,UBICACION,LEY_TERCIO,CICLO_APARICION,PRONOS_CICLO,PREFERENCIA_FLAG) VALUES('mrtr',932,'B3',16,2,5,1,15,NULL,'X');</v>
      </c>
    </row>
    <row r="43" spans="1:1" x14ac:dyDescent="0.25">
      <c r="A43" t="str">
        <f>$A$1&amp;Template!A43&amp;"',"&amp;Template!B43&amp;",'"&amp;Template!C43&amp;"',"&amp;Template!D43&amp;","&amp;Template!E43&amp;","&amp;Template!F43&amp;","&amp;Template!G43&amp;","&amp;IF((Template!H43)="","NULL",(Template!H43))&amp;","&amp;IF((Template!I43)="","NULL",(Template!I43))&amp;","&amp;IF((Template!J43)="","NULL","'"&amp;(Template!J43)&amp;"'")&amp;");"</f>
        <v>INSERT INTO OLAP_SYS.S_CALCULO_STATS (DRAWING_TYPE,DRAWING_ID,B_TYPE,DIGIT,COLOR_UBICACION,UBICACION,LEY_TERCIO,CICLO_APARICION,PRONOS_CICLO,PREFERENCIA_FLAG) VALUES('mrtr',932,'B3',15,2,5,0,19,19,NULL);</v>
      </c>
    </row>
    <row r="44" spans="1:1" x14ac:dyDescent="0.25">
      <c r="A44" t="str">
        <f>$A$1&amp;Template!A44&amp;"',"&amp;Template!B44&amp;",'"&amp;Template!C44&amp;"',"&amp;Template!D44&amp;","&amp;Template!E44&amp;","&amp;Template!F44&amp;","&amp;Template!G44&amp;","&amp;IF((Template!H44)="","NULL",(Template!H44))&amp;","&amp;IF((Template!I44)="","NULL",(Template!I44))&amp;","&amp;IF((Template!J44)="","NULL","'"&amp;(Template!J44)&amp;"'")&amp;");"</f>
        <v>INSERT INTO OLAP_SYS.S_CALCULO_STATS (DRAWING_TYPE,DRAWING_ID,B_TYPE,DIGIT,COLOR_UBICACION,UBICACION,LEY_TERCIO,CICLO_APARICION,PRONOS_CICLO,PREFERENCIA_FLAG) VALUES('mrtr',932,'B3',11,2,5,1,17,17,'X');</v>
      </c>
    </row>
    <row r="45" spans="1:1" x14ac:dyDescent="0.25">
      <c r="A45" t="str">
        <f>$A$1&amp;Template!A45&amp;"',"&amp;Template!B45&amp;",'"&amp;Template!C45&amp;"',"&amp;Template!D45&amp;","&amp;Template!E45&amp;","&amp;Template!F45&amp;","&amp;Template!G45&amp;","&amp;IF((Template!H45)="","NULL",(Template!H45))&amp;","&amp;IF((Template!I45)="","NULL",(Template!I45))&amp;","&amp;IF((Template!J45)="","NULL","'"&amp;(Template!J45)&amp;"'")&amp;");"</f>
        <v>INSERT INTO OLAP_SYS.S_CALCULO_STATS (DRAWING_TYPE,DRAWING_ID,B_TYPE,DIGIT,COLOR_UBICACION,UBICACION,LEY_TERCIO,CICLO_APARICION,PRONOS_CICLO,PREFERENCIA_FLAG) VALUES('mrtr',932,'B3',28,3,4,1,21,NULL,NULL);</v>
      </c>
    </row>
    <row r="46" spans="1:1" x14ac:dyDescent="0.25">
      <c r="A46" t="str">
        <f>$A$1&amp;Template!A46&amp;"',"&amp;Template!B46&amp;",'"&amp;Template!C46&amp;"',"&amp;Template!D46&amp;","&amp;Template!E46&amp;","&amp;Template!F46&amp;","&amp;Template!G46&amp;","&amp;IF((Template!H46)="","NULL",(Template!H46))&amp;","&amp;IF((Template!I46)="","NULL",(Template!I46))&amp;","&amp;IF((Template!J46)="","NULL","'"&amp;(Template!J46)&amp;"'")&amp;");"</f>
        <v>INSERT INTO OLAP_SYS.S_CALCULO_STATS (DRAWING_TYPE,DRAWING_ID,B_TYPE,DIGIT,COLOR_UBICACION,UBICACION,LEY_TERCIO,CICLO_APARICION,PRONOS_CICLO,PREFERENCIA_FLAG) VALUES('mrtr',932,'B3',26,3,3,2,28,NULL,NULL);</v>
      </c>
    </row>
    <row r="47" spans="1:1" x14ac:dyDescent="0.25">
      <c r="A47" t="str">
        <f>$A$1&amp;Template!A47&amp;"',"&amp;Template!B47&amp;",'"&amp;Template!C47&amp;"',"&amp;Template!D47&amp;","&amp;Template!E47&amp;","&amp;Template!F47&amp;","&amp;Template!G47&amp;","&amp;IF((Template!H47)="","NULL",(Template!H47))&amp;","&amp;IF((Template!I47)="","NULL",(Template!I47))&amp;","&amp;IF((Template!J47)="","NULL","'"&amp;(Template!J47)&amp;"'")&amp;");"</f>
        <v>INSERT INTO OLAP_SYS.S_CALCULO_STATS (DRAWING_TYPE,DRAWING_ID,B_TYPE,DIGIT,COLOR_UBICACION,UBICACION,LEY_TERCIO,CICLO_APARICION,PRONOS_CICLO,PREFERENCIA_FLAG) VALUES('mrtr',932,'B3',17,3,3,2,8,NULL,NULL);</v>
      </c>
    </row>
    <row r="48" spans="1:1" x14ac:dyDescent="0.25">
      <c r="A48" t="str">
        <f>$A$1&amp;Template!A48&amp;"',"&amp;Template!B48&amp;",'"&amp;Template!C48&amp;"',"&amp;Template!D48&amp;","&amp;Template!E48&amp;","&amp;Template!F48&amp;","&amp;Template!G48&amp;","&amp;IF((Template!H48)="","NULL",(Template!H48))&amp;","&amp;IF((Template!I48)="","NULL",(Template!I48))&amp;","&amp;IF((Template!J48)="","NULL","'"&amp;(Template!J48)&amp;"'")&amp;");"</f>
        <v>INSERT INTO OLAP_SYS.S_CALCULO_STATS (DRAWING_TYPE,DRAWING_ID,B_TYPE,DIGIT,COLOR_UBICACION,UBICACION,LEY_TERCIO,CICLO_APARICION,PRONOS_CICLO,PREFERENCIA_FLAG) VALUES('mrtr',932,'B3',14,3,3,0,27,27,NULL);</v>
      </c>
    </row>
    <row r="49" spans="1:1" x14ac:dyDescent="0.25">
      <c r="A49" t="str">
        <f>$A$1&amp;Template!A49&amp;"',"&amp;Template!B49&amp;",'"&amp;Template!C49&amp;"',"&amp;Template!D49&amp;","&amp;Template!E49&amp;","&amp;Template!F49&amp;","&amp;Template!G49&amp;","&amp;IF((Template!H49)="","NULL",(Template!H49))&amp;","&amp;IF((Template!I49)="","NULL",(Template!I49))&amp;","&amp;IF((Template!J49)="","NULL","'"&amp;(Template!J49)&amp;"'")&amp;");"</f>
        <v>INSERT INTO OLAP_SYS.S_CALCULO_STATS (DRAWING_TYPE,DRAWING_ID,B_TYPE,DIGIT,COLOR_UBICACION,UBICACION,LEY_TERCIO,CICLO_APARICION,PRONOS_CICLO,PREFERENCIA_FLAG) VALUES('mrtr',932,'B3',8,3,3,3,4,4,NULL);</v>
      </c>
    </row>
    <row r="50" spans="1:1" x14ac:dyDescent="0.25">
      <c r="A50" t="str">
        <f>$A$1&amp;Template!A50&amp;"',"&amp;Template!B50&amp;",'"&amp;Template!C50&amp;"',"&amp;Template!D50&amp;","&amp;Template!E50&amp;","&amp;Template!F50&amp;","&amp;Template!G50&amp;","&amp;IF((Template!H50)="","NULL",(Template!H50))&amp;","&amp;IF((Template!I50)="","NULL",(Template!I50))&amp;","&amp;IF((Template!J50)="","NULL","'"&amp;(Template!J50)&amp;"'")&amp;");"</f>
        <v>INSERT INTO OLAP_SYS.S_CALCULO_STATS (DRAWING_TYPE,DRAWING_ID,B_TYPE,DIGIT,COLOR_UBICACION,UBICACION,LEY_TERCIO,CICLO_APARICION,PRONOS_CICLO,PREFERENCIA_FLAG) VALUES('mrtr',932,'B3',7,3,3,0,27,NULL,NULL);</v>
      </c>
    </row>
    <row r="51" spans="1:1" x14ac:dyDescent="0.25">
      <c r="A51" t="str">
        <f>$A$1&amp;Template!A51&amp;"',"&amp;Template!B51&amp;",'"&amp;Template!C51&amp;"',"&amp;Template!D51&amp;","&amp;Template!E51&amp;","&amp;Template!F51&amp;","&amp;Template!G51&amp;","&amp;IF((Template!H51)="","NULL",(Template!H51))&amp;","&amp;IF((Template!I51)="","NULL",(Template!I51))&amp;","&amp;IF((Template!J51)="","NULL","'"&amp;(Template!J51)&amp;"'")&amp;");"</f>
        <v>INSERT INTO OLAP_SYS.S_CALCULO_STATS (DRAWING_TYPE,DRAWING_ID,B_TYPE,DIGIT,COLOR_UBICACION,UBICACION,LEY_TERCIO,CICLO_APARICION,PRONOS_CICLO,PREFERENCIA_FLAG) VALUES('mrtr',932,'B3',6,3,3,0,23,23,NULL);</v>
      </c>
    </row>
    <row r="52" spans="1:1" x14ac:dyDescent="0.25">
      <c r="A52" t="str">
        <f>$A$1&amp;Template!A52&amp;"',"&amp;Template!B52&amp;",'"&amp;Template!C52&amp;"',"&amp;Template!D52&amp;","&amp;Template!E52&amp;","&amp;Template!F52&amp;","&amp;Template!G52&amp;","&amp;IF((Template!H52)="","NULL",(Template!H52))&amp;","&amp;IF((Template!I52)="","NULL",(Template!I52))&amp;","&amp;IF((Template!J52)="","NULL","'"&amp;(Template!J52)&amp;"'")&amp;");"</f>
        <v>INSERT INTO OLAP_SYS.S_CALCULO_STATS (DRAWING_TYPE,DRAWING_ID,B_TYPE,DIGIT,COLOR_UBICACION,UBICACION,LEY_TERCIO,CICLO_APARICION,PRONOS_CICLO,PREFERENCIA_FLAG) VALUES('mrtr',932,'B3',,,,,NULL,NULL,NULL);</v>
      </c>
    </row>
    <row r="53" spans="1:1" x14ac:dyDescent="0.25">
      <c r="A53" t="str">
        <f>$A$1&amp;Template!A53&amp;"',"&amp;Template!B53&amp;",'"&amp;Template!C53&amp;"',"&amp;Template!D53&amp;","&amp;Template!E53&amp;","&amp;Template!F53&amp;","&amp;Template!G53&amp;","&amp;IF((Template!H53)="","NULL",(Template!H53))&amp;","&amp;IF((Template!I53)="","NULL",(Template!I53))&amp;","&amp;IF((Template!J53)="","NULL","'"&amp;(Template!J53)&amp;"'")&amp;");"</f>
        <v>INSERT INTO OLAP_SYS.S_CALCULO_STATS (DRAWING_TYPE,DRAWING_ID,B_TYPE,DIGIT,COLOR_UBICACION,UBICACION,LEY_TERCIO,CICLO_APARICION,PRONOS_CICLO,PREFERENCIA_FLAG) VALUES('mrtr',932,'B3',,,,,NULL,NULL,NULL);</v>
      </c>
    </row>
    <row r="54" spans="1:1" x14ac:dyDescent="0.25">
      <c r="A54" t="str">
        <f>$A$1&amp;Template!A54&amp;"',"&amp;Template!B54&amp;",'"&amp;Template!C54&amp;"',"&amp;Template!D54&amp;","&amp;Template!E54&amp;","&amp;Template!F54&amp;","&amp;Template!G54&amp;","&amp;IF((Template!H54)="","NULL",(Template!H54))&amp;","&amp;IF((Template!I54)="","NULL",(Template!I54))&amp;","&amp;IF((Template!J54)="","NULL","'"&amp;(Template!J54)&amp;"'")&amp;");"</f>
        <v>INSERT INTO OLAP_SYS.S_CALCULO_STATS (DRAWING_TYPE,DRAWING_ID,B_TYPE,DIGIT,COLOR_UBICACION,UBICACION,LEY_TERCIO,CICLO_APARICION,PRONOS_CICLO,PREFERENCIA_FLAG) VALUES('mrtr',932,'B3',,,,,NULL,NULL,NULL);</v>
      </c>
    </row>
    <row r="55" spans="1:1" x14ac:dyDescent="0.25">
      <c r="A55" t="str">
        <f>$A$1&amp;Template!A55&amp;"',"&amp;Template!B55&amp;",'"&amp;Template!C55&amp;"',"&amp;Template!D55&amp;","&amp;Template!E55&amp;","&amp;Template!F55&amp;","&amp;Template!G55&amp;","&amp;IF((Template!H55)="","NULL",(Template!H55))&amp;","&amp;IF((Template!I55)="","NULL",(Template!I55))&amp;","&amp;IF((Template!J55)="","NULL","'"&amp;(Template!J55)&amp;"'")&amp;");"</f>
        <v>INSERT INTO OLAP_SYS.S_CALCULO_STATS (DRAWING_TYPE,DRAWING_ID,B_TYPE,DIGIT,COLOR_UBICACION,UBICACION,LEY_TERCIO,CICLO_APARICION,PRONOS_CICLO,PREFERENCIA_FLAG) VALUES('mrtr',932,'B4',14,1,9,1,9,NULL,'X');</v>
      </c>
    </row>
    <row r="56" spans="1:1" x14ac:dyDescent="0.25">
      <c r="A56" t="str">
        <f>$A$1&amp;Template!A56&amp;"',"&amp;Template!B56&amp;",'"&amp;Template!C56&amp;"',"&amp;Template!D56&amp;","&amp;Template!E56&amp;","&amp;Template!F56&amp;","&amp;Template!G56&amp;","&amp;IF((Template!H56)="","NULL",(Template!H56))&amp;","&amp;IF((Template!I56)="","NULL",(Template!I56))&amp;","&amp;IF((Template!J56)="","NULL","'"&amp;(Template!J56)&amp;"'")&amp;");"</f>
        <v>INSERT INTO OLAP_SYS.S_CALCULO_STATS (DRAWING_TYPE,DRAWING_ID,B_TYPE,DIGIT,COLOR_UBICACION,UBICACION,LEY_TERCIO,CICLO_APARICION,PRONOS_CICLO,PREFERENCIA_FLAG) VALUES('mrtr',932,'B4',26,1,8,0,9,9,'X');</v>
      </c>
    </row>
    <row r="57" spans="1:1" x14ac:dyDescent="0.25">
      <c r="A57" t="str">
        <f>$A$1&amp;Template!A57&amp;"',"&amp;Template!B57&amp;",'"&amp;Template!C57&amp;"',"&amp;Template!D57&amp;","&amp;Template!E57&amp;","&amp;Template!F57&amp;","&amp;Template!G57&amp;","&amp;IF((Template!H57)="","NULL",(Template!H57))&amp;","&amp;IF((Template!I57)="","NULL",(Template!I57))&amp;","&amp;IF((Template!J57)="","NULL","'"&amp;(Template!J57)&amp;"'")&amp;");"</f>
        <v>INSERT INTO OLAP_SYS.S_CALCULO_STATS (DRAWING_TYPE,DRAWING_ID,B_TYPE,DIGIT,COLOR_UBICACION,UBICACION,LEY_TERCIO,CICLO_APARICION,PRONOS_CICLO,PREFERENCIA_FLAG) VALUES('mrtr',932,'B4',22,1,7,1,12,NULL,'X');</v>
      </c>
    </row>
    <row r="58" spans="1:1" x14ac:dyDescent="0.25">
      <c r="A58" t="str">
        <f>$A$1&amp;Template!A58&amp;"',"&amp;Template!B58&amp;",'"&amp;Template!C58&amp;"',"&amp;Template!D58&amp;","&amp;Template!E58&amp;","&amp;Template!F58&amp;","&amp;Template!G58&amp;","&amp;IF((Template!H58)="","NULL",(Template!H58))&amp;","&amp;IF((Template!I58)="","NULL",(Template!I58))&amp;","&amp;IF((Template!J58)="","NULL","'"&amp;(Template!J58)&amp;"'")&amp;");"</f>
        <v>INSERT INTO OLAP_SYS.S_CALCULO_STATS (DRAWING_TYPE,DRAWING_ID,B_TYPE,DIGIT,COLOR_UBICACION,UBICACION,LEY_TERCIO,CICLO_APARICION,PRONOS_CICLO,PREFERENCIA_FLAG) VALUES('mrtr',932,'B4',29,1,6,1,15,NULL,'X');</v>
      </c>
    </row>
    <row r="59" spans="1:1" x14ac:dyDescent="0.25">
      <c r="A59" t="str">
        <f>$A$1&amp;Template!A59&amp;"',"&amp;Template!B59&amp;",'"&amp;Template!C59&amp;"',"&amp;Template!D59&amp;","&amp;Template!E59&amp;","&amp;Template!F59&amp;","&amp;Template!G59&amp;","&amp;IF((Template!H59)="","NULL",(Template!H59))&amp;","&amp;IF((Template!I59)="","NULL",(Template!I59))&amp;","&amp;IF((Template!J59)="","NULL","'"&amp;(Template!J59)&amp;"'")&amp;");"</f>
        <v>INSERT INTO OLAP_SYS.S_CALCULO_STATS (DRAWING_TYPE,DRAWING_ID,B_TYPE,DIGIT,COLOR_UBICACION,UBICACION,LEY_TERCIO,CICLO_APARICION,PRONOS_CICLO,PREFERENCIA_FLAG) VALUES('mrtr',932,'B4',28,1,6,2,8,NULL,NULL);</v>
      </c>
    </row>
    <row r="60" spans="1:1" x14ac:dyDescent="0.25">
      <c r="A60" t="str">
        <f>$A$1&amp;Template!A60&amp;"',"&amp;Template!B60&amp;",'"&amp;Template!C60&amp;"',"&amp;Template!D60&amp;","&amp;Template!E60&amp;","&amp;Template!F60&amp;","&amp;Template!G60&amp;","&amp;IF((Template!H60)="","NULL",(Template!H60))&amp;","&amp;IF((Template!I60)="","NULL",(Template!I60))&amp;","&amp;IF((Template!J60)="","NULL","'"&amp;(Template!J60)&amp;"'")&amp;");"</f>
        <v>INSERT INTO OLAP_SYS.S_CALCULO_STATS (DRAWING_TYPE,DRAWING_ID,B_TYPE,DIGIT,COLOR_UBICACION,UBICACION,LEY_TERCIO,CICLO_APARICION,PRONOS_CICLO,PREFERENCIA_FLAG) VALUES('mrtr',932,'B4',25,2,6,1,14,14,'X');</v>
      </c>
    </row>
    <row r="61" spans="1:1" x14ac:dyDescent="0.25">
      <c r="A61" t="str">
        <f>$A$1&amp;Template!A61&amp;"',"&amp;Template!B61&amp;",'"&amp;Template!C61&amp;"',"&amp;Template!D61&amp;","&amp;Template!E61&amp;","&amp;Template!F61&amp;","&amp;Template!G61&amp;","&amp;IF((Template!H61)="","NULL",(Template!H61))&amp;","&amp;IF((Template!I61)="","NULL",(Template!I61))&amp;","&amp;IF((Template!J61)="","NULL","'"&amp;(Template!J61)&amp;"'")&amp;");"</f>
        <v>INSERT INTO OLAP_SYS.S_CALCULO_STATS (DRAWING_TYPE,DRAWING_ID,B_TYPE,DIGIT,COLOR_UBICACION,UBICACION,LEY_TERCIO,CICLO_APARICION,PRONOS_CICLO,PREFERENCIA_FLAG) VALUES('mrtr',932,'B4',23,2,5,1,19,NULL,NULL);</v>
      </c>
    </row>
    <row r="62" spans="1:1" x14ac:dyDescent="0.25">
      <c r="A62" t="str">
        <f>$A$1&amp;Template!A62&amp;"',"&amp;Template!B62&amp;",'"&amp;Template!C62&amp;"',"&amp;Template!D62&amp;","&amp;Template!E62&amp;","&amp;Template!F62&amp;","&amp;Template!G62&amp;","&amp;IF((Template!H62)="","NULL",(Template!H62))&amp;","&amp;IF((Template!I62)="","NULL",(Template!I62))&amp;","&amp;IF((Template!J62)="","NULL","'"&amp;(Template!J62)&amp;"'")&amp;");"</f>
        <v>INSERT INTO OLAP_SYS.S_CALCULO_STATS (DRAWING_TYPE,DRAWING_ID,B_TYPE,DIGIT,COLOR_UBICACION,UBICACION,LEY_TERCIO,CICLO_APARICION,PRONOS_CICLO,PREFERENCIA_FLAG) VALUES('mrtr',932,'B4',20,2,5,0,18,NULL,'X');</v>
      </c>
    </row>
    <row r="63" spans="1:1" x14ac:dyDescent="0.25">
      <c r="A63" t="str">
        <f>$A$1&amp;Template!A63&amp;"',"&amp;Template!B63&amp;",'"&amp;Template!C63&amp;"',"&amp;Template!D63&amp;","&amp;Template!E63&amp;","&amp;Template!F63&amp;","&amp;Template!G63&amp;","&amp;IF((Template!H63)="","NULL",(Template!H63))&amp;","&amp;IF((Template!I63)="","NULL",(Template!I63))&amp;","&amp;IF((Template!J63)="","NULL","'"&amp;(Template!J63)&amp;"'")&amp;");"</f>
        <v>INSERT INTO OLAP_SYS.S_CALCULO_STATS (DRAWING_TYPE,DRAWING_ID,B_TYPE,DIGIT,COLOR_UBICACION,UBICACION,LEY_TERCIO,CICLO_APARICION,PRONOS_CICLO,PREFERENCIA_FLAG) VALUES('mrtr',932,'B4',19,2,5,1,18,NULL,'X');</v>
      </c>
    </row>
    <row r="64" spans="1:1" x14ac:dyDescent="0.25">
      <c r="A64" t="str">
        <f>$A$1&amp;Template!A64&amp;"',"&amp;Template!B64&amp;",'"&amp;Template!C64&amp;"',"&amp;Template!D64&amp;","&amp;Template!E64&amp;","&amp;Template!F64&amp;","&amp;Template!G64&amp;","&amp;IF((Template!H64)="","NULL",(Template!H64))&amp;","&amp;IF((Template!I64)="","NULL",(Template!I64))&amp;","&amp;IF((Template!J64)="","NULL","'"&amp;(Template!J64)&amp;"'")&amp;");"</f>
        <v>INSERT INTO OLAP_SYS.S_CALCULO_STATS (DRAWING_TYPE,DRAWING_ID,B_TYPE,DIGIT,COLOR_UBICACION,UBICACION,LEY_TERCIO,CICLO_APARICION,PRONOS_CICLO,PREFERENCIA_FLAG) VALUES('mrtr',932,'B4',27,2,4,1,17,NULL,'X');</v>
      </c>
    </row>
    <row r="65" spans="1:1" x14ac:dyDescent="0.25">
      <c r="A65" t="str">
        <f>$A$1&amp;Template!A65&amp;"',"&amp;Template!B65&amp;",'"&amp;Template!C65&amp;"',"&amp;Template!D65&amp;","&amp;Template!E65&amp;","&amp;Template!F65&amp;","&amp;Template!G65&amp;","&amp;IF((Template!H65)="","NULL",(Template!H65))&amp;","&amp;IF((Template!I65)="","NULL",(Template!I65))&amp;","&amp;IF((Template!J65)="","NULL","'"&amp;(Template!J65)&amp;"'")&amp;");"</f>
        <v>INSERT INTO OLAP_SYS.S_CALCULO_STATS (DRAWING_TYPE,DRAWING_ID,B_TYPE,DIGIT,COLOR_UBICACION,UBICACION,LEY_TERCIO,CICLO_APARICION,PRONOS_CICLO,PREFERENCIA_FLAG) VALUES('mrtr',932,'B4',15,3,4,1,20,NULL,NULL);</v>
      </c>
    </row>
    <row r="66" spans="1:1" x14ac:dyDescent="0.25">
      <c r="A66" t="str">
        <f>$A$1&amp;Template!A66&amp;"',"&amp;Template!B66&amp;",'"&amp;Template!C66&amp;"',"&amp;Template!D66&amp;","&amp;Template!E66&amp;","&amp;Template!F66&amp;","&amp;Template!G66&amp;","&amp;IF((Template!H66)="","NULL",(Template!H66))&amp;","&amp;IF((Template!I66)="","NULL",(Template!I66))&amp;","&amp;IF((Template!J66)="","NULL","'"&amp;(Template!J66)&amp;"'")&amp;");"</f>
        <v>INSERT INTO OLAP_SYS.S_CALCULO_STATS (DRAWING_TYPE,DRAWING_ID,B_TYPE,DIGIT,COLOR_UBICACION,UBICACION,LEY_TERCIO,CICLO_APARICION,PRONOS_CICLO,PREFERENCIA_FLAG) VALUES('mrtr',932,'B4',11,3,4,0,21,21,NULL);</v>
      </c>
    </row>
    <row r="67" spans="1:1" x14ac:dyDescent="0.25">
      <c r="A67" t="str">
        <f>$A$1&amp;Template!A67&amp;"',"&amp;Template!B67&amp;",'"&amp;Template!C67&amp;"',"&amp;Template!D67&amp;","&amp;Template!E67&amp;","&amp;Template!F67&amp;","&amp;Template!G67&amp;","&amp;IF((Template!H67)="","NULL",(Template!H67))&amp;","&amp;IF((Template!I67)="","NULL",(Template!I67))&amp;","&amp;IF((Template!J67)="","NULL","'"&amp;(Template!J67)&amp;"'")&amp;");"</f>
        <v>INSERT INTO OLAP_SYS.S_CALCULO_STATS (DRAWING_TYPE,DRAWING_ID,B_TYPE,DIGIT,COLOR_UBICACION,UBICACION,LEY_TERCIO,CICLO_APARICION,PRONOS_CICLO,PREFERENCIA_FLAG) VALUES('mrtr',932,'B4',31,3,3,0,28,28,NULL);</v>
      </c>
    </row>
    <row r="68" spans="1:1" x14ac:dyDescent="0.25">
      <c r="A68" t="str">
        <f>$A$1&amp;Template!A68&amp;"',"&amp;Template!B68&amp;",'"&amp;Template!C68&amp;"',"&amp;Template!D68&amp;","&amp;Template!E68&amp;","&amp;Template!F68&amp;","&amp;Template!G68&amp;","&amp;IF((Template!H68)="","NULL",(Template!H68))&amp;","&amp;IF((Template!I68)="","NULL",(Template!I68))&amp;","&amp;IF((Template!J68)="","NULL","'"&amp;(Template!J68)&amp;"'")&amp;");"</f>
        <v>INSERT INTO OLAP_SYS.S_CALCULO_STATS (DRAWING_TYPE,DRAWING_ID,B_TYPE,DIGIT,COLOR_UBICACION,UBICACION,LEY_TERCIO,CICLO_APARICION,PRONOS_CICLO,PREFERENCIA_FLAG) VALUES('mrtr',932,'B4',30,3,3,1,32,NULL,NULL);</v>
      </c>
    </row>
    <row r="69" spans="1:1" x14ac:dyDescent="0.25">
      <c r="A69" t="str">
        <f>$A$1&amp;Template!A69&amp;"',"&amp;Template!B69&amp;",'"&amp;Template!C69&amp;"',"&amp;Template!D69&amp;","&amp;Template!E69&amp;","&amp;Template!F69&amp;","&amp;Template!G69&amp;","&amp;IF((Template!H69)="","NULL",(Template!H69))&amp;","&amp;IF((Template!I69)="","NULL",(Template!I69))&amp;","&amp;IF((Template!J69)="","NULL","'"&amp;(Template!J69)&amp;"'")&amp;");"</f>
        <v>INSERT INTO OLAP_SYS.S_CALCULO_STATS (DRAWING_TYPE,DRAWING_ID,B_TYPE,DIGIT,COLOR_UBICACION,UBICACION,LEY_TERCIO,CICLO_APARICION,PRONOS_CICLO,PREFERENCIA_FLAG) VALUES('mrtr',932,'B4',21,3,3,0,23,23,NULL);</v>
      </c>
    </row>
    <row r="70" spans="1:1" x14ac:dyDescent="0.25">
      <c r="A70" t="str">
        <f>$A$1&amp;Template!A70&amp;"',"&amp;Template!B70&amp;",'"&amp;Template!C70&amp;"',"&amp;Template!D70&amp;","&amp;Template!E70&amp;","&amp;Template!F70&amp;","&amp;Template!G70&amp;","&amp;IF((Template!H70)="","NULL",(Template!H70))&amp;","&amp;IF((Template!I70)="","NULL",(Template!I70))&amp;","&amp;IF((Template!J70)="","NULL","'"&amp;(Template!J70)&amp;"'")&amp;");"</f>
        <v>INSERT INTO OLAP_SYS.S_CALCULO_STATS (DRAWING_TYPE,DRAWING_ID,B_TYPE,DIGIT,COLOR_UBICACION,UBICACION,LEY_TERCIO,CICLO_APARICION,PRONOS_CICLO,PREFERENCIA_FLAG) VALUES('mrtr',932,'B4',,,,,NULL,NULL,NULL);</v>
      </c>
    </row>
    <row r="71" spans="1:1" x14ac:dyDescent="0.25">
      <c r="A71" t="str">
        <f>$A$1&amp;Template!A71&amp;"',"&amp;Template!B71&amp;",'"&amp;Template!C71&amp;"',"&amp;Template!D71&amp;","&amp;Template!E71&amp;","&amp;Template!F71&amp;","&amp;Template!G71&amp;","&amp;IF((Template!H71)="","NULL",(Template!H71))&amp;","&amp;IF((Template!I71)="","NULL",(Template!I71))&amp;","&amp;IF((Template!J71)="","NULL","'"&amp;(Template!J71)&amp;"'")&amp;");"</f>
        <v>INSERT INTO OLAP_SYS.S_CALCULO_STATS (DRAWING_TYPE,DRAWING_ID,B_TYPE,DIGIT,COLOR_UBICACION,UBICACION,LEY_TERCIO,CICLO_APARICION,PRONOS_CICLO,PREFERENCIA_FLAG) VALUES('mrtr',932,'B4',,,,,NULL,NULL,NULL);</v>
      </c>
    </row>
    <row r="72" spans="1:1" x14ac:dyDescent="0.25">
      <c r="A72" t="str">
        <f>$A$1&amp;Template!A72&amp;"',"&amp;Template!B72&amp;",'"&amp;Template!C72&amp;"',"&amp;Template!D72&amp;","&amp;Template!E72&amp;","&amp;Template!F72&amp;","&amp;Template!G72&amp;","&amp;IF((Template!H72)="","NULL",(Template!H72))&amp;","&amp;IF((Template!I72)="","NULL",(Template!I72))&amp;","&amp;IF((Template!J72)="","NULL","'"&amp;(Template!J72)&amp;"'")&amp;");"</f>
        <v>INSERT INTO OLAP_SYS.S_CALCULO_STATS (DRAWING_TYPE,DRAWING_ID,B_TYPE,DIGIT,COLOR_UBICACION,UBICACION,LEY_TERCIO,CICLO_APARICION,PRONOS_CICLO,PREFERENCIA_FLAG) VALUES('mrtr',932,'B5',32,1,9,2,10,NULL,NULL);</v>
      </c>
    </row>
    <row r="73" spans="1:1" x14ac:dyDescent="0.25">
      <c r="A73" t="str">
        <f>$A$1&amp;Template!A73&amp;"',"&amp;Template!B73&amp;",'"&amp;Template!C73&amp;"',"&amp;Template!D73&amp;","&amp;Template!E73&amp;","&amp;Template!F73&amp;","&amp;Template!G73&amp;","&amp;IF((Template!H73)="","NULL",(Template!H73))&amp;","&amp;IF((Template!I73)="","NULL",(Template!I73))&amp;","&amp;IF((Template!J73)="","NULL","'"&amp;(Template!J73)&amp;"'")&amp;");"</f>
        <v>INSERT INTO OLAP_SYS.S_CALCULO_STATS (DRAWING_TYPE,DRAWING_ID,B_TYPE,DIGIT,COLOR_UBICACION,UBICACION,LEY_TERCIO,CICLO_APARICION,PRONOS_CICLO,PREFERENCIA_FLAG) VALUES('mrtr',932,'B5',35,1,8,1,10,NULL,'X');</v>
      </c>
    </row>
    <row r="74" spans="1:1" x14ac:dyDescent="0.25">
      <c r="A74" t="str">
        <f>$A$1&amp;Template!A74&amp;"',"&amp;Template!B74&amp;",'"&amp;Template!C74&amp;"',"&amp;Template!D74&amp;","&amp;Template!E74&amp;","&amp;Template!F74&amp;","&amp;Template!G74&amp;","&amp;IF((Template!H74)="","NULL",(Template!H74))&amp;","&amp;IF((Template!I74)="","NULL",(Template!I74))&amp;","&amp;IF((Template!J74)="","NULL","'"&amp;(Template!J74)&amp;"'")&amp;");"</f>
        <v>INSERT INTO OLAP_SYS.S_CALCULO_STATS (DRAWING_TYPE,DRAWING_ID,B_TYPE,DIGIT,COLOR_UBICACION,UBICACION,LEY_TERCIO,CICLO_APARICION,PRONOS_CICLO,PREFERENCIA_FLAG) VALUES('mrtr',932,'B5',31,1,8,2,11,NULL,NULL);</v>
      </c>
    </row>
    <row r="75" spans="1:1" x14ac:dyDescent="0.25">
      <c r="A75" t="str">
        <f>$A$1&amp;Template!A75&amp;"',"&amp;Template!B75&amp;",'"&amp;Template!C75&amp;"',"&amp;Template!D75&amp;","&amp;Template!E75&amp;","&amp;Template!F75&amp;","&amp;Template!G75&amp;","&amp;IF((Template!H75)="","NULL",(Template!H75))&amp;","&amp;IF((Template!I75)="","NULL",(Template!I75))&amp;","&amp;IF((Template!J75)="","NULL","'"&amp;(Template!J75)&amp;"'")&amp;");"</f>
        <v>INSERT INTO OLAP_SYS.S_CALCULO_STATS (DRAWING_TYPE,DRAWING_ID,B_TYPE,DIGIT,COLOR_UBICACION,UBICACION,LEY_TERCIO,CICLO_APARICION,PRONOS_CICLO,PREFERENCIA_FLAG) VALUES('mrtr',932,'B5',25,2,8,1,10,NULL,'X');</v>
      </c>
    </row>
    <row r="76" spans="1:1" x14ac:dyDescent="0.25">
      <c r="A76" t="str">
        <f>$A$1&amp;Template!A76&amp;"',"&amp;Template!B76&amp;",'"&amp;Template!C76&amp;"',"&amp;Template!D76&amp;","&amp;Template!E76&amp;","&amp;Template!F76&amp;","&amp;Template!G76&amp;","&amp;IF((Template!H76)="","NULL",(Template!H76))&amp;","&amp;IF((Template!I76)="","NULL",(Template!I76))&amp;","&amp;IF((Template!J76)="","NULL","'"&amp;(Template!J76)&amp;"'")&amp;");"</f>
        <v>INSERT INTO OLAP_SYS.S_CALCULO_STATS (DRAWING_TYPE,DRAWING_ID,B_TYPE,DIGIT,COLOR_UBICACION,UBICACION,LEY_TERCIO,CICLO_APARICION,PRONOS_CICLO,PREFERENCIA_FLAG) VALUES('mrtr',932,'B5',30,2,7,1,13,NULL,NULL);</v>
      </c>
    </row>
    <row r="77" spans="1:1" x14ac:dyDescent="0.25">
      <c r="A77" t="str">
        <f>$A$1&amp;Template!A77&amp;"',"&amp;Template!B77&amp;",'"&amp;Template!C77&amp;"',"&amp;Template!D77&amp;","&amp;Template!E77&amp;","&amp;Template!F77&amp;","&amp;Template!G77&amp;","&amp;IF((Template!H77)="","NULL",(Template!H77))&amp;","&amp;IF((Template!I77)="","NULL",(Template!I77))&amp;","&amp;IF((Template!J77)="","NULL","'"&amp;(Template!J77)&amp;"'")&amp;");"</f>
        <v>INSERT INTO OLAP_SYS.S_CALCULO_STATS (DRAWING_TYPE,DRAWING_ID,B_TYPE,DIGIT,COLOR_UBICACION,UBICACION,LEY_TERCIO,CICLO_APARICION,PRONOS_CICLO,PREFERENCIA_FLAG) VALUES('mrtr',932,'B5',29,2,6,0,12,12,'X');</v>
      </c>
    </row>
    <row r="78" spans="1:1" x14ac:dyDescent="0.25">
      <c r="A78" t="str">
        <f>$A$1&amp;Template!A78&amp;"',"&amp;Template!B78&amp;",'"&amp;Template!C78&amp;"',"&amp;Template!D78&amp;","&amp;Template!E78&amp;","&amp;Template!F78&amp;","&amp;Template!G78&amp;","&amp;IF((Template!H78)="","NULL",(Template!H78))&amp;","&amp;IF((Template!I78)="","NULL",(Template!I78))&amp;","&amp;IF((Template!J78)="","NULL","'"&amp;(Template!J78)&amp;"'")&amp;");"</f>
        <v>INSERT INTO OLAP_SYS.S_CALCULO_STATS (DRAWING_TYPE,DRAWING_ID,B_TYPE,DIGIT,COLOR_UBICACION,UBICACION,LEY_TERCIO,CICLO_APARICION,PRONOS_CICLO,PREFERENCIA_FLAG) VALUES('mrtr',932,'B5',27,3,6,0,12,12,'X');</v>
      </c>
    </row>
    <row r="79" spans="1:1" x14ac:dyDescent="0.25">
      <c r="A79" t="str">
        <f>$A$1&amp;Template!A79&amp;"',"&amp;Template!B79&amp;",'"&amp;Template!C79&amp;"',"&amp;Template!D79&amp;","&amp;Template!E79&amp;","&amp;Template!F79&amp;","&amp;Template!G79&amp;","&amp;IF((Template!H79)="","NULL",(Template!H79))&amp;","&amp;IF((Template!I79)="","NULL",(Template!I79))&amp;","&amp;IF((Template!J79)="","NULL","'"&amp;(Template!J79)&amp;"'")&amp;");"</f>
        <v>INSERT INTO OLAP_SYS.S_CALCULO_STATS (DRAWING_TYPE,DRAWING_ID,B_TYPE,DIGIT,COLOR_UBICACION,UBICACION,LEY_TERCIO,CICLO_APARICION,PRONOS_CICLO,PREFERENCIA_FLAG) VALUES('mrtr',932,'B5',33,3,5,0,16,NULL,NULL);</v>
      </c>
    </row>
    <row r="80" spans="1:1" x14ac:dyDescent="0.25">
      <c r="A80" t="str">
        <f>$A$1&amp;Template!A80&amp;"',"&amp;Template!B80&amp;",'"&amp;Template!C80&amp;"',"&amp;Template!D80&amp;","&amp;Template!E80&amp;","&amp;Template!F80&amp;","&amp;Template!G80&amp;","&amp;IF((Template!H80)="","NULL",(Template!H80))&amp;","&amp;IF((Template!I80)="","NULL",(Template!I80))&amp;","&amp;IF((Template!J80)="","NULL","'"&amp;(Template!J80)&amp;"'")&amp;");"</f>
        <v>INSERT INTO OLAP_SYS.S_CALCULO_STATS (DRAWING_TYPE,DRAWING_ID,B_TYPE,DIGIT,COLOR_UBICACION,UBICACION,LEY_TERCIO,CICLO_APARICION,PRONOS_CICLO,PREFERENCIA_FLAG) VALUES('mrtr',932,'B5',26,3,5,0,17,17,NULL);</v>
      </c>
    </row>
    <row r="81" spans="1:1" x14ac:dyDescent="0.25">
      <c r="A81" t="str">
        <f>$A$1&amp;Template!A81&amp;"',"&amp;Template!B81&amp;",'"&amp;Template!C81&amp;"',"&amp;Template!D81&amp;","&amp;Template!E81&amp;","&amp;Template!F81&amp;","&amp;Template!G81&amp;","&amp;IF((Template!H81)="","NULL",(Template!H81))&amp;","&amp;IF((Template!I81)="","NULL",(Template!I81))&amp;","&amp;IF((Template!J81)="","NULL","'"&amp;(Template!J81)&amp;"'")&amp;");"</f>
        <v>INSERT INTO OLAP_SYS.S_CALCULO_STATS (DRAWING_TYPE,DRAWING_ID,B_TYPE,DIGIT,COLOR_UBICACION,UBICACION,LEY_TERCIO,CICLO_APARICION,PRONOS_CICLO,PREFERENCIA_FLAG) VALUES('mrtr',932,'B5',24,3,5,0,14,NULL,NULL);</v>
      </c>
    </row>
    <row r="82" spans="1:1" x14ac:dyDescent="0.25">
      <c r="A82" t="str">
        <f>$A$1&amp;Template!A82&amp;"',"&amp;Template!B82&amp;",'"&amp;Template!C82&amp;"',"&amp;Template!D82&amp;","&amp;Template!E82&amp;","&amp;Template!F82&amp;","&amp;Template!G82&amp;","&amp;IF((Template!H82)="","NULL",(Template!H82))&amp;","&amp;IF((Template!I82)="","NULL",(Template!I82))&amp;","&amp;IF((Template!J82)="","NULL","'"&amp;(Template!J82)&amp;"'")&amp;");"</f>
        <v>INSERT INTO OLAP_SYS.S_CALCULO_STATS (DRAWING_TYPE,DRAWING_ID,B_TYPE,DIGIT,COLOR_UBICACION,UBICACION,LEY_TERCIO,CICLO_APARICION,PRONOS_CICLO,PREFERENCIA_FLAG) VALUES('mrtr',932,'B5',38,3,4,2,12,NULL,NULL);</v>
      </c>
    </row>
    <row r="83" spans="1:1" x14ac:dyDescent="0.25">
      <c r="A83" t="str">
        <f>$A$1&amp;Template!A83&amp;"',"&amp;Template!B83&amp;",'"&amp;Template!C83&amp;"',"&amp;Template!D83&amp;","&amp;Template!E83&amp;","&amp;Template!F83&amp;","&amp;Template!G83&amp;","&amp;IF((Template!H83)="","NULL",(Template!H83))&amp;","&amp;IF((Template!I83)="","NULL",(Template!I83))&amp;","&amp;IF((Template!J83)="","NULL","'"&amp;(Template!J83)&amp;"'")&amp;");"</f>
        <v>INSERT INTO OLAP_SYS.S_CALCULO_STATS (DRAWING_TYPE,DRAWING_ID,B_TYPE,DIGIT,COLOR_UBICACION,UBICACION,LEY_TERCIO,CICLO_APARICION,PRONOS_CICLO,PREFERENCIA_FLAG) VALUES('mrtr',932,'B5',,,,,NULL,NULL,NULL);</v>
      </c>
    </row>
    <row r="84" spans="1:1" x14ac:dyDescent="0.25">
      <c r="A84" t="str">
        <f>$A$1&amp;Template!A84&amp;"',"&amp;Template!B84&amp;",'"&amp;Template!C84&amp;"',"&amp;Template!D84&amp;","&amp;Template!E84&amp;","&amp;Template!F84&amp;","&amp;Template!G84&amp;","&amp;IF((Template!H84)="","NULL",(Template!H84))&amp;","&amp;IF((Template!I84)="","NULL",(Template!I84))&amp;","&amp;IF((Template!J84)="","NULL","'"&amp;(Template!J84)&amp;"'")&amp;");"</f>
        <v>INSERT INTO OLAP_SYS.S_CALCULO_STATS (DRAWING_TYPE,DRAWING_ID,B_TYPE,DIGIT,COLOR_UBICACION,UBICACION,LEY_TERCIO,CICLO_APARICION,PRONOS_CICLO,PREFERENCIA_FLAG) VALUES('mrtr',932,'B5',,,,,NULL,NULL,NULL);</v>
      </c>
    </row>
    <row r="85" spans="1:1" x14ac:dyDescent="0.25">
      <c r="A85" t="str">
        <f>$A$1&amp;Template!A85&amp;"',"&amp;Template!B85&amp;",'"&amp;Template!C85&amp;"',"&amp;Template!D85&amp;","&amp;Template!E85&amp;","&amp;Template!F85&amp;","&amp;Template!G85&amp;","&amp;IF((Template!H85)="","NULL",(Template!H85))&amp;","&amp;IF((Template!I85)="","NULL",(Template!I85))&amp;","&amp;IF((Template!J85)="","NULL","'"&amp;(Template!J85)&amp;"'")&amp;");"</f>
        <v>INSERT INTO OLAP_SYS.S_CALCULO_STATS (DRAWING_TYPE,DRAWING_ID,B_TYPE,DIGIT,COLOR_UBICACION,UBICACION,LEY_TERCIO,CICLO_APARICION,PRONOS_CICLO,PREFERENCIA_FLAG) VALUES('mrtr',932,'B5',,,,,NULL,NULL,NULL);</v>
      </c>
    </row>
    <row r="86" spans="1:1" x14ac:dyDescent="0.25">
      <c r="A86" t="str">
        <f>$A$1&amp;Template!A86&amp;"',"&amp;Template!B86&amp;",'"&amp;Template!C86&amp;"',"&amp;Template!D86&amp;","&amp;Template!E86&amp;","&amp;Template!F86&amp;","&amp;Template!G86&amp;","&amp;IF((Template!H86)="","NULL",(Template!H86))&amp;","&amp;IF((Template!I86)="","NULL",(Template!I86))&amp;","&amp;IF((Template!J86)="","NULL","'"&amp;(Template!J86)&amp;"'")&amp;");"</f>
        <v>INSERT INTO OLAP_SYS.S_CALCULO_STATS (DRAWING_TYPE,DRAWING_ID,B_TYPE,DIGIT,COLOR_UBICACION,UBICACION,LEY_TERCIO,CICLO_APARICION,PRONOS_CICLO,PREFERENCIA_FLAG) VALUES('mrtr',932,'B5',,,,,NULL,NULL,NULL);</v>
      </c>
    </row>
    <row r="87" spans="1:1" x14ac:dyDescent="0.25">
      <c r="A87" t="str">
        <f>$A$1&amp;Template!A87&amp;"',"&amp;Template!B87&amp;",'"&amp;Template!C87&amp;"',"&amp;Template!D87&amp;","&amp;Template!E87&amp;","&amp;Template!F87&amp;","&amp;Template!G87&amp;","&amp;IF((Template!H87)="","NULL",(Template!H87))&amp;","&amp;IF((Template!I87)="","NULL",(Template!I87))&amp;","&amp;IF((Template!J87)="","NULL","'"&amp;(Template!J87)&amp;"'")&amp;");"</f>
        <v>INSERT INTO OLAP_SYS.S_CALCULO_STATS (DRAWING_TYPE,DRAWING_ID,B_TYPE,DIGIT,COLOR_UBICACION,UBICACION,LEY_TERCIO,CICLO_APARICION,PRONOS_CICLO,PREFERENCIA_FLAG) VALUES('mrtr',932,'B6',39,1,19,4,4,NULL,NULL);</v>
      </c>
    </row>
    <row r="88" spans="1:1" x14ac:dyDescent="0.25">
      <c r="A88" t="str">
        <f>$A$1&amp;Template!A88&amp;"',"&amp;Template!B88&amp;",'"&amp;Template!C88&amp;"',"&amp;Template!D88&amp;","&amp;Template!E88&amp;","&amp;Template!F88&amp;","&amp;Template!G88&amp;","&amp;IF((Template!H88)="","NULL",(Template!H88))&amp;","&amp;IF((Template!I88)="","NULL",(Template!I88))&amp;","&amp;IF((Template!J88)="","NULL","'"&amp;(Template!J88)&amp;"'")&amp;");"</f>
        <v>INSERT INTO OLAP_SYS.S_CALCULO_STATS (DRAWING_TYPE,DRAWING_ID,B_TYPE,DIGIT,COLOR_UBICACION,UBICACION,LEY_TERCIO,CICLO_APARICION,PRONOS_CICLO,PREFERENCIA_FLAG) VALUES('mrtr',932,'B6',37,1,13,1,6,NULL,'X');</v>
      </c>
    </row>
    <row r="89" spans="1:1" x14ac:dyDescent="0.25">
      <c r="A89" t="str">
        <f>$A$1&amp;Template!A89&amp;"',"&amp;Template!B89&amp;",'"&amp;Template!C89&amp;"',"&amp;Template!D89&amp;","&amp;Template!E89&amp;","&amp;Template!F89&amp;","&amp;Template!G89&amp;","&amp;IF((Template!H89)="","NULL",(Template!H89))&amp;","&amp;IF((Template!I89)="","NULL",(Template!I89))&amp;","&amp;IF((Template!J89)="","NULL","'"&amp;(Template!J89)&amp;"'")&amp;");"</f>
        <v>INSERT INTO OLAP_SYS.S_CALCULO_STATS (DRAWING_TYPE,DRAWING_ID,B_TYPE,DIGIT,COLOR_UBICACION,UBICACION,LEY_TERCIO,CICLO_APARICION,PRONOS_CICLO,PREFERENCIA_FLAG) VALUES('mrtr',932,'B6',38,1,9,0,9,9,'X');</v>
      </c>
    </row>
    <row r="90" spans="1:1" x14ac:dyDescent="0.25">
      <c r="A90" t="str">
        <f>$A$1&amp;Template!A90&amp;"',"&amp;Template!B90&amp;",'"&amp;Template!C90&amp;"',"&amp;Template!D90&amp;","&amp;Template!E90&amp;","&amp;Template!F90&amp;","&amp;Template!G90&amp;","&amp;IF((Template!H90)="","NULL",(Template!H90))&amp;","&amp;IF((Template!I90)="","NULL",(Template!I90))&amp;","&amp;IF((Template!J90)="","NULL","'"&amp;(Template!J90)&amp;"'")&amp;");"</f>
        <v>INSERT INTO OLAP_SYS.S_CALCULO_STATS (DRAWING_TYPE,DRAWING_ID,B_TYPE,DIGIT,COLOR_UBICACION,UBICACION,LEY_TERCIO,CICLO_APARICION,PRONOS_CICLO,PREFERENCIA_FLAG) VALUES('mrtr',932,'B6',36,2,8,2,11,NULL,NULL);</v>
      </c>
    </row>
    <row r="91" spans="1:1" x14ac:dyDescent="0.25">
      <c r="A91" t="str">
        <f>$A$1&amp;Template!A91&amp;"',"&amp;Template!B91&amp;",'"&amp;Template!C91&amp;"',"&amp;Template!D91&amp;","&amp;Template!E91&amp;","&amp;Template!F91&amp;","&amp;Template!G91&amp;","&amp;IF((Template!H91)="","NULL",(Template!H91))&amp;","&amp;IF((Template!I91)="","NULL",(Template!I91))&amp;","&amp;IF((Template!J91)="","NULL","'"&amp;(Template!J91)&amp;"'")&amp;");"</f>
        <v>INSERT INTO OLAP_SYS.S_CALCULO_STATS (DRAWING_TYPE,DRAWING_ID,B_TYPE,DIGIT,COLOR_UBICACION,UBICACION,LEY_TERCIO,CICLO_APARICION,PRONOS_CICLO,PREFERENCIA_FLAG) VALUES('mrtr',932,'B6',35,2,8,1,11,NULL,NULL);</v>
      </c>
    </row>
    <row r="92" spans="1:1" x14ac:dyDescent="0.25">
      <c r="A92" t="str">
        <f>$A$1&amp;Template!A92&amp;"',"&amp;Template!B92&amp;",'"&amp;Template!C92&amp;"',"&amp;Template!D92&amp;","&amp;Template!E92&amp;","&amp;Template!F92&amp;","&amp;Template!G92&amp;","&amp;IF((Template!H92)="","NULL",(Template!H92))&amp;","&amp;IF((Template!I92)="","NULL",(Template!I92))&amp;","&amp;IF((Template!J92)="","NULL","'"&amp;(Template!J92)&amp;"'")&amp;");"</f>
        <v>INSERT INTO OLAP_SYS.S_CALCULO_STATS (DRAWING_TYPE,DRAWING_ID,B_TYPE,DIGIT,COLOR_UBICACION,UBICACION,LEY_TERCIO,CICLO_APARICION,PRONOS_CICLO,PREFERENCIA_FLAG) VALUES('mrtr',932,'B6',32,2,7,0,13,13,NULL);</v>
      </c>
    </row>
    <row r="93" spans="1:1" x14ac:dyDescent="0.25">
      <c r="A93" t="str">
        <f>$A$1&amp;Template!A93&amp;"',"&amp;Template!B93&amp;",'"&amp;Template!C93&amp;"',"&amp;Template!D93&amp;","&amp;Template!E93&amp;","&amp;Template!F93&amp;","&amp;Template!G93&amp;","&amp;IF((Template!H93)="","NULL",(Template!H93))&amp;","&amp;IF((Template!I93)="","NULL",(Template!I93))&amp;","&amp;IF((Template!J93)="","NULL","'"&amp;(Template!J93)&amp;"'")&amp;");"</f>
        <v>INSERT INTO OLAP_SYS.S_CALCULO_STATS (DRAWING_TYPE,DRAWING_ID,B_TYPE,DIGIT,COLOR_UBICACION,UBICACION,LEY_TERCIO,CICLO_APARICION,PRONOS_CICLO,PREFERENCIA_FLAG) VALUES('mrtr',932,'B6',30,3,7,0,10,10,'X');</v>
      </c>
    </row>
    <row r="94" spans="1:1" x14ac:dyDescent="0.25">
      <c r="A94" t="str">
        <f>$A$1&amp;Template!A94&amp;"',"&amp;Template!B94&amp;",'"&amp;Template!C94&amp;"',"&amp;Template!D94&amp;","&amp;Template!E94&amp;","&amp;Template!F94&amp;","&amp;Template!G94&amp;","&amp;IF((Template!H94)="","NULL",(Template!H94))&amp;","&amp;IF((Template!I94)="","NULL",(Template!I94))&amp;","&amp;IF((Template!J94)="","NULL","'"&amp;(Template!J94)&amp;"'")&amp;");"</f>
        <v>INSERT INTO OLAP_SYS.S_CALCULO_STATS (DRAWING_TYPE,DRAWING_ID,B_TYPE,DIGIT,COLOR_UBICACION,UBICACION,LEY_TERCIO,CICLO_APARICION,PRONOS_CICLO,PREFERENCIA_FLAG) VALUES('mrtr',932,'B6',29,3,7,0,12,NULL,NULL);</v>
      </c>
    </row>
    <row r="95" spans="1:1" x14ac:dyDescent="0.25">
      <c r="A95" t="str">
        <f>$A$1&amp;Template!A95&amp;"',"&amp;Template!B95&amp;",'"&amp;Template!C95&amp;"',"&amp;Template!D95&amp;","&amp;Template!E95&amp;","&amp;Template!F95&amp;","&amp;Template!G95&amp;","&amp;IF((Template!H95)="","NULL",(Template!H95))&amp;","&amp;IF((Template!I95)="","NULL",(Template!I95))&amp;","&amp;IF((Template!J95)="","NULL","'"&amp;(Template!J95)&amp;"'")&amp;");"</f>
        <v>INSERT INTO OLAP_SYS.S_CALCULO_STATS (DRAWING_TYPE,DRAWING_ID,B_TYPE,DIGIT,COLOR_UBICACION,UBICACION,LEY_TERCIO,CICLO_APARICION,PRONOS_CICLO,PREFERENCIA_FLAG) VALUES('mrtr',932,'B6',34,3,6,0,14,14,NULL);</v>
      </c>
    </row>
    <row r="96" spans="1:1" x14ac:dyDescent="0.25">
      <c r="A96" t="str">
        <f>$A$1&amp;Template!A96&amp;"',"&amp;Template!B96&amp;",'"&amp;Template!C96&amp;"',"&amp;Template!D96&amp;","&amp;Template!E96&amp;","&amp;Template!F96&amp;","&amp;Template!G96&amp;","&amp;IF((Template!H96)="","NULL",(Template!H96))&amp;","&amp;IF((Template!I96)="","NULL",(Template!I96))&amp;","&amp;IF((Template!J96)="","NULL","'"&amp;(Template!J96)&amp;"'")&amp;");"</f>
        <v>INSERT INTO OLAP_SYS.S_CALCULO_STATS (DRAWING_TYPE,DRAWING_ID,B_TYPE,DIGIT,COLOR_UBICACION,UBICACION,LEY_TERCIO,CICLO_APARICION,PRONOS_CICLO,PREFERENCIA_FLAG) VALUES('mrtr',932,'B6',,,,,NULL,NULL,NULL);</v>
      </c>
    </row>
    <row r="97" spans="1:1" x14ac:dyDescent="0.25">
      <c r="A97" t="str">
        <f>$A$1&amp;Template!A97&amp;"',"&amp;Template!B97&amp;",'"&amp;Template!C97&amp;"',"&amp;Template!D97&amp;","&amp;Template!E97&amp;","&amp;Template!F97&amp;","&amp;Template!G97&amp;","&amp;IF((Template!H97)="","NULL",(Template!H97))&amp;","&amp;IF((Template!I97)="","NULL",(Template!I97))&amp;","&amp;IF((Template!J97)="","NULL","'"&amp;(Template!J97)&amp;"'")&amp;");"</f>
        <v>INSERT INTO OLAP_SYS.S_CALCULO_STATS (DRAWING_TYPE,DRAWING_ID,B_TYPE,DIGIT,COLOR_UBICACION,UBICACION,LEY_TERCIO,CICLO_APARICION,PRONOS_CICLO,PREFERENCIA_FLAG) VALUES('mrtr',932,'B6',,,,,NULL,NULL,NULL);</v>
      </c>
    </row>
    <row r="98" spans="1:1" x14ac:dyDescent="0.25">
      <c r="A98" t="str">
        <f>$A$1&amp;Template!A98&amp;"',"&amp;Template!B98&amp;",'"&amp;Template!C98&amp;"',"&amp;Template!D98&amp;","&amp;Template!E98&amp;","&amp;Template!F98&amp;","&amp;Template!G98&amp;","&amp;IF((Template!H98)="","NULL",(Template!H98))&amp;","&amp;IF((Template!I98)="","NULL",(Template!I98))&amp;","&amp;IF((Template!J98)="","NULL","'"&amp;(Template!J98)&amp;"'")&amp;");"</f>
        <v>INSERT INTO OLAP_SYS.S_CALCULO_STATS (DRAWING_TYPE,DRAWING_ID,B_TYPE,DIGIT,COLOR_UBICACION,UBICACION,LEY_TERCIO,CICLO_APARICION,PRONOS_CICLO,PREFERENCIA_FLAG) VALUES('mrtr',932,'B6',,,,,NULL,NULL,NULL);</v>
      </c>
    </row>
    <row r="99" spans="1:1" x14ac:dyDescent="0.25">
      <c r="A99" t="str">
        <f>$A$1&amp;Template!A99&amp;"',"&amp;Template!B99&amp;",'"&amp;Template!C99&amp;"',"&amp;Template!D99&amp;","&amp;Template!E99&amp;","&amp;Template!F99&amp;","&amp;Template!G99&amp;","&amp;IF((Template!H99)="","NULL",(Template!H99))&amp;","&amp;IF((Template!I99)="","NULL",(Template!I99))&amp;","&amp;IF((Template!J99)="","NULL","'"&amp;(Template!J99)&amp;"'")&amp;");"</f>
        <v>INSERT INTO OLAP_SYS.S_CALCULO_STATS (DRAWING_TYPE,DRAWING_ID,B_TYPE,DIGIT,COLOR_UBICACION,UBICACION,LEY_TERCIO,CICLO_APARICION,PRONOS_CICLO,PREFERENCIA_FLAG) VALUES('mrtr',932,'B6',,,,,NULL,NULL,NULL);</v>
      </c>
    </row>
    <row r="100" spans="1:1" x14ac:dyDescent="0.25">
      <c r="A100" t="str">
        <f>$A$1&amp;Template!A100&amp;"',"&amp;Template!B100&amp;",'"&amp;Template!C100&amp;"',"&amp;Template!D100&amp;","&amp;Template!E100&amp;","&amp;Template!F100&amp;","&amp;Template!G100&amp;","&amp;IF((Template!H100)="","NULL",(Template!H100))&amp;","&amp;IF((Template!I100)="","NULL",(Template!I100))&amp;","&amp;IF((Template!J100)="","NULL","'"&amp;(Template!J100)&amp;"'")&amp;");"</f>
        <v>INSERT INTO OLAP_SYS.S_CALCULO_STATS (DRAWING_TYPE,DRAWING_ID,B_TYPE,DIGIT,COLOR_UBICACION,UBICACION,LEY_TERCIO,CICLO_APARICION,PRONOS_CICLO,PREFERENCIA_FLAG) VALUES('mrtr',932,'B6',,,,,NULL,NULL,NULL);</v>
      </c>
    </row>
    <row r="101" spans="1:1" x14ac:dyDescent="0.25">
      <c r="A101" t="str">
        <f>$A$1&amp;Template!A101&amp;"',"&amp;Template!B101&amp;",'"&amp;Template!C101&amp;"',"&amp;Template!D101&amp;","&amp;Template!E101&amp;","&amp;Template!F101&amp;","&amp;Template!G101&amp;","&amp;IF((Template!H101)="","NULL",(Template!H101))&amp;","&amp;IF((Template!I101)="","NULL",(Template!I101))&amp;","&amp;IF((Template!J101)="","NULL","'"&amp;(Template!J101)&amp;"'")&amp;");"</f>
        <v>INSERT INTO OLAP_SYS.S_CALCULO_STATS (DRAWING_TYPE,DRAWING_ID,B_TYPE,DIGIT,COLOR_UBICACION,UBICACION,LEY_TERCIO,CICLO_APARICION,PRONOS_CICLO,PREFERENCIA_FLAG) VALUES('mrtr',932,'B6',,,,,NULL,NULL,NULL);</v>
      </c>
    </row>
  </sheetData>
  <pageMargins left="0.7" right="0.7" top="0.75" bottom="0.75" header="0.3" footer="0.3"/>
  <pageSetup orientation="portrait" horizont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111"/>
  <sheetViews>
    <sheetView workbookViewId="0">
      <pane ySplit="1" topLeftCell="A2" activePane="bottomLeft" state="frozen"/>
      <selection pane="bottomLeft" activeCell="G100" sqref="G100"/>
    </sheetView>
  </sheetViews>
  <sheetFormatPr defaultColWidth="11.42578125" defaultRowHeight="15" x14ac:dyDescent="0.25"/>
  <cols>
    <col min="1" max="1" width="11.42578125" style="15" customWidth="1"/>
    <col min="2" max="5" width="11.42578125" style="15"/>
    <col min="6" max="6" width="12" style="15" bestFit="1" customWidth="1"/>
    <col min="7" max="8" width="11.42578125" style="15"/>
    <col min="9" max="9" width="7.5703125" style="15" bestFit="1" customWidth="1"/>
    <col min="10" max="10" width="7.5703125" style="15" customWidth="1"/>
    <col min="19" max="19" width="12" bestFit="1" customWidth="1"/>
  </cols>
  <sheetData>
    <row r="1" spans="1:19" x14ac:dyDescent="0.25">
      <c r="A1" s="10" t="s">
        <v>8</v>
      </c>
      <c r="B1" s="10" t="s">
        <v>7</v>
      </c>
      <c r="C1" s="10" t="s">
        <v>9</v>
      </c>
      <c r="D1" s="10" t="s">
        <v>10</v>
      </c>
      <c r="E1" s="10" t="s">
        <v>11</v>
      </c>
      <c r="F1" s="10" t="s">
        <v>14</v>
      </c>
      <c r="G1" s="10" t="s">
        <v>12</v>
      </c>
      <c r="H1" s="10" t="s">
        <v>13</v>
      </c>
      <c r="I1" s="10" t="s">
        <v>15</v>
      </c>
      <c r="J1" s="8" t="s">
        <v>77</v>
      </c>
      <c r="K1">
        <v>1425</v>
      </c>
    </row>
    <row r="2" spans="1:19" ht="15" customHeight="1" thickBot="1" x14ac:dyDescent="0.3">
      <c r="A2" s="10">
        <v>1425</v>
      </c>
      <c r="B2" s="19" t="s">
        <v>1</v>
      </c>
      <c r="C2" s="10">
        <v>2</v>
      </c>
      <c r="D2" s="10">
        <v>1</v>
      </c>
      <c r="E2" s="10">
        <v>18</v>
      </c>
      <c r="F2" s="10">
        <v>1</v>
      </c>
      <c r="G2" s="10">
        <v>4</v>
      </c>
      <c r="H2" s="10"/>
      <c r="I2" s="16" t="s">
        <v>16</v>
      </c>
      <c r="J2" s="17">
        <v>1</v>
      </c>
      <c r="S2" s="26"/>
    </row>
    <row r="3" spans="1:19" ht="14.25" customHeight="1" thickBot="1" x14ac:dyDescent="0.3">
      <c r="A3" s="10">
        <v>1425</v>
      </c>
      <c r="B3" s="19" t="s">
        <v>1</v>
      </c>
      <c r="C3" s="10">
        <v>4</v>
      </c>
      <c r="D3" s="10">
        <v>1</v>
      </c>
      <c r="E3" s="10">
        <v>15</v>
      </c>
      <c r="F3" s="10">
        <v>2</v>
      </c>
      <c r="G3" s="10">
        <v>6</v>
      </c>
      <c r="H3" s="10"/>
      <c r="I3" s="16" t="s">
        <v>16</v>
      </c>
      <c r="J3" s="17">
        <v>2</v>
      </c>
      <c r="S3" s="25"/>
    </row>
    <row r="4" spans="1:19" ht="15" customHeight="1" thickBot="1" x14ac:dyDescent="0.3">
      <c r="A4" s="10">
        <v>1425</v>
      </c>
      <c r="B4" s="19" t="s">
        <v>1</v>
      </c>
      <c r="C4" s="10">
        <v>1</v>
      </c>
      <c r="D4" s="10">
        <v>2</v>
      </c>
      <c r="E4" s="10">
        <v>14</v>
      </c>
      <c r="F4" s="10">
        <v>1</v>
      </c>
      <c r="G4" s="10">
        <v>6</v>
      </c>
      <c r="H4" s="10"/>
      <c r="I4" s="16"/>
      <c r="J4" s="17">
        <v>3</v>
      </c>
      <c r="L4" s="27"/>
      <c r="M4" s="27"/>
      <c r="S4" s="24"/>
    </row>
    <row r="5" spans="1:19" ht="14.25" customHeight="1" thickBot="1" x14ac:dyDescent="0.3">
      <c r="A5" s="10">
        <v>1425</v>
      </c>
      <c r="B5" s="19" t="s">
        <v>1</v>
      </c>
      <c r="C5" s="10">
        <v>6</v>
      </c>
      <c r="D5" s="10">
        <v>2</v>
      </c>
      <c r="E5" s="10">
        <v>12</v>
      </c>
      <c r="F5" s="10">
        <v>0</v>
      </c>
      <c r="G5" s="10">
        <v>7</v>
      </c>
      <c r="H5" s="10">
        <v>7</v>
      </c>
      <c r="I5" s="16" t="s">
        <v>16</v>
      </c>
      <c r="J5" s="17">
        <v>4</v>
      </c>
      <c r="L5" s="25"/>
      <c r="M5" s="25"/>
    </row>
    <row r="6" spans="1:19" x14ac:dyDescent="0.25">
      <c r="A6" s="10">
        <v>1425</v>
      </c>
      <c r="B6" s="19" t="s">
        <v>1</v>
      </c>
      <c r="C6" s="10">
        <v>3</v>
      </c>
      <c r="D6" s="10">
        <v>3</v>
      </c>
      <c r="E6" s="10">
        <v>10</v>
      </c>
      <c r="F6" s="10">
        <v>1</v>
      </c>
      <c r="G6" s="10">
        <v>8</v>
      </c>
      <c r="H6" s="10"/>
      <c r="I6" s="16"/>
      <c r="J6" s="17">
        <v>5</v>
      </c>
    </row>
    <row r="7" spans="1:19" x14ac:dyDescent="0.25">
      <c r="A7" s="10">
        <v>1425</v>
      </c>
      <c r="B7" s="19" t="s">
        <v>1</v>
      </c>
      <c r="C7" s="10">
        <v>5</v>
      </c>
      <c r="D7" s="10">
        <v>3</v>
      </c>
      <c r="E7" s="10">
        <v>8</v>
      </c>
      <c r="F7" s="10">
        <v>2</v>
      </c>
      <c r="G7" s="10">
        <v>9</v>
      </c>
      <c r="H7" s="10"/>
      <c r="I7" s="16"/>
      <c r="J7" s="17">
        <v>6</v>
      </c>
    </row>
    <row r="8" spans="1:19" x14ac:dyDescent="0.25">
      <c r="A8" s="10">
        <v>1425</v>
      </c>
      <c r="B8" s="19" t="s">
        <v>1</v>
      </c>
      <c r="C8" s="10">
        <v>8</v>
      </c>
      <c r="D8" s="10">
        <v>3</v>
      </c>
      <c r="E8" s="10">
        <v>7</v>
      </c>
      <c r="F8" s="10">
        <v>0</v>
      </c>
      <c r="G8" s="10">
        <v>13</v>
      </c>
      <c r="H8" s="10">
        <v>13</v>
      </c>
      <c r="I8" s="16" t="s">
        <v>16</v>
      </c>
      <c r="J8" s="17">
        <v>7</v>
      </c>
    </row>
    <row r="9" spans="1:19" x14ac:dyDescent="0.25">
      <c r="A9" s="10">
        <v>1425</v>
      </c>
      <c r="B9" s="19" t="s">
        <v>1</v>
      </c>
      <c r="C9" s="10"/>
      <c r="D9" s="10">
        <v>3</v>
      </c>
      <c r="E9" s="10"/>
      <c r="F9" s="10">
        <v>0</v>
      </c>
      <c r="G9" s="10"/>
      <c r="H9" s="10"/>
      <c r="I9" s="16"/>
      <c r="J9" s="17">
        <v>8</v>
      </c>
    </row>
    <row r="10" spans="1:19" x14ac:dyDescent="0.25">
      <c r="A10" s="10">
        <v>1425</v>
      </c>
      <c r="B10" s="19" t="s">
        <v>1</v>
      </c>
      <c r="C10" s="10"/>
      <c r="D10" s="10"/>
      <c r="E10" s="10"/>
      <c r="F10" s="10">
        <v>0</v>
      </c>
      <c r="G10" s="10"/>
      <c r="H10" s="10"/>
      <c r="I10" s="16"/>
      <c r="J10" s="17">
        <v>9</v>
      </c>
    </row>
    <row r="11" spans="1:19" x14ac:dyDescent="0.25">
      <c r="A11" s="10">
        <v>1425</v>
      </c>
      <c r="B11" s="19" t="s">
        <v>1</v>
      </c>
      <c r="C11" s="10"/>
      <c r="D11" s="10"/>
      <c r="E11" s="10"/>
      <c r="F11" s="10">
        <v>0</v>
      </c>
      <c r="G11" s="10"/>
      <c r="H11" s="10"/>
      <c r="I11" s="16"/>
      <c r="J11" s="17">
        <v>10</v>
      </c>
    </row>
    <row r="12" spans="1:19" x14ac:dyDescent="0.25">
      <c r="A12" s="10">
        <v>1425</v>
      </c>
      <c r="B12" s="19" t="s">
        <v>1</v>
      </c>
      <c r="C12" s="10"/>
      <c r="D12" s="10"/>
      <c r="E12" s="10"/>
      <c r="F12" s="10">
        <v>0</v>
      </c>
      <c r="G12" s="10"/>
      <c r="H12" s="10"/>
      <c r="I12" s="16"/>
      <c r="J12" s="17">
        <v>11</v>
      </c>
    </row>
    <row r="13" spans="1:19" x14ac:dyDescent="0.25">
      <c r="A13" s="10">
        <v>1425</v>
      </c>
      <c r="B13" s="19" t="s">
        <v>1</v>
      </c>
      <c r="C13" s="10"/>
      <c r="D13" s="10"/>
      <c r="E13" s="10"/>
      <c r="F13" s="10">
        <v>0</v>
      </c>
      <c r="G13" s="10"/>
      <c r="H13" s="10"/>
      <c r="I13" s="16"/>
      <c r="J13" s="17">
        <v>12</v>
      </c>
    </row>
    <row r="14" spans="1:19" x14ac:dyDescent="0.25">
      <c r="A14" s="10">
        <v>1425</v>
      </c>
      <c r="B14" s="19" t="s">
        <v>1</v>
      </c>
      <c r="C14" s="10"/>
      <c r="D14" s="10"/>
      <c r="E14" s="10"/>
      <c r="F14" s="10">
        <v>0</v>
      </c>
      <c r="G14" s="10"/>
      <c r="H14" s="10"/>
      <c r="I14" s="16"/>
      <c r="J14" s="17">
        <v>13</v>
      </c>
    </row>
    <row r="15" spans="1:19" x14ac:dyDescent="0.25">
      <c r="A15" s="10">
        <v>1425</v>
      </c>
      <c r="B15" s="19" t="s">
        <v>1</v>
      </c>
      <c r="C15" s="10"/>
      <c r="D15" s="10"/>
      <c r="E15" s="10"/>
      <c r="F15" s="10">
        <v>0</v>
      </c>
      <c r="G15" s="10"/>
      <c r="H15" s="10"/>
      <c r="I15" s="16"/>
      <c r="J15" s="17">
        <v>14</v>
      </c>
    </row>
    <row r="16" spans="1:19" x14ac:dyDescent="0.25">
      <c r="A16" s="10">
        <v>1425</v>
      </c>
      <c r="B16" s="19" t="s">
        <v>1</v>
      </c>
      <c r="C16" s="10"/>
      <c r="D16" s="10"/>
      <c r="E16" s="10"/>
      <c r="F16" s="10">
        <v>0</v>
      </c>
      <c r="G16" s="10"/>
      <c r="H16" s="10"/>
      <c r="I16" s="16"/>
      <c r="J16" s="17">
        <v>15</v>
      </c>
    </row>
    <row r="17" spans="1:10" x14ac:dyDescent="0.25">
      <c r="A17" s="10">
        <v>1425</v>
      </c>
      <c r="B17" s="9" t="s">
        <v>2</v>
      </c>
      <c r="C17" s="10">
        <v>8</v>
      </c>
      <c r="D17" s="10">
        <v>1</v>
      </c>
      <c r="E17" s="10">
        <v>9</v>
      </c>
      <c r="F17" s="10">
        <v>1</v>
      </c>
      <c r="G17" s="10">
        <v>10</v>
      </c>
      <c r="H17" s="10">
        <v>10</v>
      </c>
      <c r="I17" s="16"/>
      <c r="J17" s="17">
        <v>1</v>
      </c>
    </row>
    <row r="18" spans="1:10" x14ac:dyDescent="0.25">
      <c r="A18" s="10">
        <v>1425</v>
      </c>
      <c r="B18" s="9" t="s">
        <v>2</v>
      </c>
      <c r="C18" s="10">
        <v>7</v>
      </c>
      <c r="D18" s="10">
        <v>1</v>
      </c>
      <c r="E18" s="10">
        <v>9</v>
      </c>
      <c r="F18" s="10">
        <v>0</v>
      </c>
      <c r="G18" s="10">
        <v>9</v>
      </c>
      <c r="H18" s="10">
        <v>9</v>
      </c>
      <c r="I18" s="16" t="s">
        <v>16</v>
      </c>
      <c r="J18" s="17">
        <v>2</v>
      </c>
    </row>
    <row r="19" spans="1:10" x14ac:dyDescent="0.25">
      <c r="A19" s="10">
        <v>1425</v>
      </c>
      <c r="B19" s="9" t="s">
        <v>2</v>
      </c>
      <c r="C19" s="10">
        <v>4</v>
      </c>
      <c r="D19" s="10">
        <v>1</v>
      </c>
      <c r="E19" s="10">
        <v>9</v>
      </c>
      <c r="F19" s="10">
        <v>0</v>
      </c>
      <c r="G19" s="10">
        <v>9</v>
      </c>
      <c r="H19" s="10">
        <v>9</v>
      </c>
      <c r="I19" s="16"/>
      <c r="J19" s="17">
        <v>3</v>
      </c>
    </row>
    <row r="20" spans="1:10" x14ac:dyDescent="0.25">
      <c r="A20" s="10">
        <v>1425</v>
      </c>
      <c r="B20" s="9" t="s">
        <v>2</v>
      </c>
      <c r="C20" s="10">
        <v>9</v>
      </c>
      <c r="D20" s="10">
        <v>1</v>
      </c>
      <c r="E20" s="10">
        <v>8</v>
      </c>
      <c r="F20" s="10">
        <v>2</v>
      </c>
      <c r="G20" s="10">
        <v>8</v>
      </c>
      <c r="H20" s="10"/>
      <c r="I20" s="16" t="s">
        <v>16</v>
      </c>
      <c r="J20" s="17">
        <v>4</v>
      </c>
    </row>
    <row r="21" spans="1:10" x14ac:dyDescent="0.25">
      <c r="A21" s="10">
        <v>1425</v>
      </c>
      <c r="B21" s="9" t="s">
        <v>2</v>
      </c>
      <c r="C21" s="10">
        <v>10</v>
      </c>
      <c r="D21" s="10">
        <v>2</v>
      </c>
      <c r="E21" s="10">
        <v>7</v>
      </c>
      <c r="F21" s="10">
        <v>1</v>
      </c>
      <c r="G21" s="10">
        <v>13</v>
      </c>
      <c r="H21" s="10"/>
      <c r="I21" s="16"/>
      <c r="J21" s="17">
        <v>5</v>
      </c>
    </row>
    <row r="22" spans="1:10" x14ac:dyDescent="0.25">
      <c r="A22" s="10">
        <v>1425</v>
      </c>
      <c r="B22" s="9" t="s">
        <v>2</v>
      </c>
      <c r="C22" s="10">
        <v>17</v>
      </c>
      <c r="D22" s="10">
        <v>2</v>
      </c>
      <c r="E22" s="10">
        <v>6</v>
      </c>
      <c r="F22" s="10">
        <v>1</v>
      </c>
      <c r="G22" s="10">
        <v>14</v>
      </c>
      <c r="H22" s="10"/>
      <c r="I22" s="16" t="s">
        <v>16</v>
      </c>
      <c r="J22" s="17">
        <v>6</v>
      </c>
    </row>
    <row r="23" spans="1:10" x14ac:dyDescent="0.25">
      <c r="A23" s="10">
        <v>1425</v>
      </c>
      <c r="B23" s="9" t="s">
        <v>2</v>
      </c>
      <c r="C23" s="10">
        <v>11</v>
      </c>
      <c r="D23" s="10">
        <v>2</v>
      </c>
      <c r="E23" s="10">
        <v>6</v>
      </c>
      <c r="F23" s="10">
        <v>2</v>
      </c>
      <c r="G23" s="10">
        <v>15</v>
      </c>
      <c r="H23" s="10"/>
      <c r="I23" s="16" t="s">
        <v>16</v>
      </c>
      <c r="J23" s="17">
        <v>7</v>
      </c>
    </row>
    <row r="24" spans="1:10" x14ac:dyDescent="0.25">
      <c r="A24" s="10">
        <v>1425</v>
      </c>
      <c r="B24" s="9" t="s">
        <v>2</v>
      </c>
      <c r="C24" s="10">
        <v>6</v>
      </c>
      <c r="D24" s="10">
        <v>2</v>
      </c>
      <c r="E24" s="10">
        <v>6</v>
      </c>
      <c r="F24" s="10">
        <v>3</v>
      </c>
      <c r="G24" s="10">
        <v>9</v>
      </c>
      <c r="H24" s="10"/>
      <c r="I24" s="16"/>
      <c r="J24" s="17">
        <v>8</v>
      </c>
    </row>
    <row r="25" spans="1:10" x14ac:dyDescent="0.25">
      <c r="A25" s="10">
        <v>1425</v>
      </c>
      <c r="B25" s="9" t="s">
        <v>2</v>
      </c>
      <c r="C25" s="10">
        <v>5</v>
      </c>
      <c r="D25" s="10">
        <v>3</v>
      </c>
      <c r="E25" s="10">
        <v>6</v>
      </c>
      <c r="F25" s="10">
        <v>0</v>
      </c>
      <c r="G25" s="10">
        <v>14</v>
      </c>
      <c r="H25" s="10"/>
      <c r="I25" s="16" t="s">
        <v>16</v>
      </c>
      <c r="J25" s="17">
        <v>9</v>
      </c>
    </row>
    <row r="26" spans="1:10" x14ac:dyDescent="0.25">
      <c r="A26" s="10">
        <v>1425</v>
      </c>
      <c r="B26" s="9" t="s">
        <v>2</v>
      </c>
      <c r="C26" s="10">
        <v>15</v>
      </c>
      <c r="D26" s="10">
        <v>3</v>
      </c>
      <c r="E26" s="10">
        <v>5</v>
      </c>
      <c r="F26" s="10">
        <v>2</v>
      </c>
      <c r="G26" s="10">
        <v>14</v>
      </c>
      <c r="H26" s="10"/>
      <c r="I26" s="16" t="s">
        <v>16</v>
      </c>
      <c r="J26" s="17">
        <v>10</v>
      </c>
    </row>
    <row r="27" spans="1:10" x14ac:dyDescent="0.25">
      <c r="A27" s="10">
        <v>1425</v>
      </c>
      <c r="B27" s="9" t="s">
        <v>2</v>
      </c>
      <c r="C27" s="10">
        <v>16</v>
      </c>
      <c r="D27" s="10">
        <v>3</v>
      </c>
      <c r="E27" s="10">
        <v>4</v>
      </c>
      <c r="F27" s="10">
        <v>0</v>
      </c>
      <c r="G27" s="10">
        <v>20</v>
      </c>
      <c r="H27" s="10">
        <v>20</v>
      </c>
      <c r="I27" s="16"/>
      <c r="J27" s="17">
        <v>11</v>
      </c>
    </row>
    <row r="28" spans="1:10" x14ac:dyDescent="0.25">
      <c r="A28" s="10">
        <v>1425</v>
      </c>
      <c r="B28" s="9" t="s">
        <v>2</v>
      </c>
      <c r="C28" s="10">
        <v>14</v>
      </c>
      <c r="D28" s="10">
        <v>3</v>
      </c>
      <c r="E28" s="10">
        <v>4</v>
      </c>
      <c r="F28" s="10">
        <v>0</v>
      </c>
      <c r="G28" s="10">
        <v>22</v>
      </c>
      <c r="H28" s="10">
        <v>22</v>
      </c>
      <c r="I28" s="16"/>
      <c r="J28" s="17">
        <v>12</v>
      </c>
    </row>
    <row r="29" spans="1:10" x14ac:dyDescent="0.25">
      <c r="A29" s="10">
        <v>1425</v>
      </c>
      <c r="B29" s="9" t="s">
        <v>2</v>
      </c>
      <c r="C29" s="10">
        <v>13</v>
      </c>
      <c r="D29" s="10">
        <v>3</v>
      </c>
      <c r="E29" s="10">
        <v>4</v>
      </c>
      <c r="F29" s="10">
        <v>0</v>
      </c>
      <c r="G29" s="10">
        <v>18</v>
      </c>
      <c r="H29" s="10">
        <v>18</v>
      </c>
      <c r="I29" s="16" t="s">
        <v>16</v>
      </c>
      <c r="J29" s="17">
        <v>13</v>
      </c>
    </row>
    <row r="30" spans="1:10" x14ac:dyDescent="0.25">
      <c r="A30" s="10">
        <v>1425</v>
      </c>
      <c r="B30" s="9" t="s">
        <v>2</v>
      </c>
      <c r="C30" s="10"/>
      <c r="D30" s="10">
        <v>3</v>
      </c>
      <c r="E30" s="10"/>
      <c r="F30" s="10">
        <v>0</v>
      </c>
      <c r="G30" s="10"/>
      <c r="H30" s="10"/>
      <c r="I30" s="16"/>
      <c r="J30" s="17">
        <v>14</v>
      </c>
    </row>
    <row r="31" spans="1:10" x14ac:dyDescent="0.25">
      <c r="A31" s="10">
        <v>1425</v>
      </c>
      <c r="B31" s="9" t="s">
        <v>2</v>
      </c>
      <c r="C31" s="10"/>
      <c r="D31" s="10">
        <v>3</v>
      </c>
      <c r="E31" s="10"/>
      <c r="F31" s="10">
        <v>0</v>
      </c>
      <c r="G31" s="10"/>
      <c r="H31" s="10"/>
      <c r="I31" s="16"/>
      <c r="J31" s="17">
        <v>15</v>
      </c>
    </row>
    <row r="32" spans="1:10" x14ac:dyDescent="0.25">
      <c r="A32" s="10">
        <v>1425</v>
      </c>
      <c r="B32" s="9" t="s">
        <v>2</v>
      </c>
      <c r="C32" s="10"/>
      <c r="D32" s="10">
        <v>3</v>
      </c>
      <c r="E32" s="10"/>
      <c r="F32" s="10">
        <v>0</v>
      </c>
      <c r="G32" s="10"/>
      <c r="H32" s="10"/>
      <c r="I32" s="16"/>
      <c r="J32" s="17">
        <v>16</v>
      </c>
    </row>
    <row r="33" spans="1:10" x14ac:dyDescent="0.25">
      <c r="A33" s="10">
        <v>1425</v>
      </c>
      <c r="B33" s="20" t="s">
        <v>3</v>
      </c>
      <c r="C33" s="10">
        <v>13</v>
      </c>
      <c r="D33" s="10">
        <v>1</v>
      </c>
      <c r="E33" s="10">
        <v>8</v>
      </c>
      <c r="F33" s="10">
        <v>1</v>
      </c>
      <c r="G33" s="10">
        <v>11</v>
      </c>
      <c r="H33" s="10"/>
      <c r="I33" s="16"/>
      <c r="J33" s="17">
        <v>1</v>
      </c>
    </row>
    <row r="34" spans="1:10" x14ac:dyDescent="0.25">
      <c r="A34" s="10">
        <v>1425</v>
      </c>
      <c r="B34" s="20" t="s">
        <v>3</v>
      </c>
      <c r="C34" s="10">
        <v>26</v>
      </c>
      <c r="D34" s="10">
        <v>1</v>
      </c>
      <c r="E34" s="10">
        <v>7</v>
      </c>
      <c r="F34" s="10">
        <v>2</v>
      </c>
      <c r="G34" s="10">
        <v>6</v>
      </c>
      <c r="H34" s="10"/>
      <c r="I34" s="16" t="s">
        <v>16</v>
      </c>
      <c r="J34" s="17">
        <v>2</v>
      </c>
    </row>
    <row r="35" spans="1:10" x14ac:dyDescent="0.25">
      <c r="A35" s="10">
        <v>1425</v>
      </c>
      <c r="B35" s="20" t="s">
        <v>3</v>
      </c>
      <c r="C35" s="10">
        <v>14</v>
      </c>
      <c r="D35" s="10">
        <v>1</v>
      </c>
      <c r="E35" s="10">
        <v>7</v>
      </c>
      <c r="F35" s="10">
        <v>2</v>
      </c>
      <c r="G35" s="10">
        <v>12</v>
      </c>
      <c r="H35" s="10"/>
      <c r="I35" s="16" t="s">
        <v>16</v>
      </c>
      <c r="J35" s="17">
        <v>3</v>
      </c>
    </row>
    <row r="36" spans="1:10" x14ac:dyDescent="0.25">
      <c r="A36" s="10">
        <v>1425</v>
      </c>
      <c r="B36" s="20" t="s">
        <v>3</v>
      </c>
      <c r="C36" s="10">
        <v>12</v>
      </c>
      <c r="D36" s="10">
        <v>1</v>
      </c>
      <c r="E36" s="10">
        <v>7</v>
      </c>
      <c r="F36" s="10">
        <v>0</v>
      </c>
      <c r="G36" s="10">
        <v>13</v>
      </c>
      <c r="H36" s="10">
        <v>13</v>
      </c>
      <c r="I36" s="16" t="s">
        <v>16</v>
      </c>
      <c r="J36" s="17">
        <v>4</v>
      </c>
    </row>
    <row r="37" spans="1:10" x14ac:dyDescent="0.25">
      <c r="A37" s="10">
        <v>1425</v>
      </c>
      <c r="B37" s="20" t="s">
        <v>3</v>
      </c>
      <c r="C37" s="10">
        <v>22</v>
      </c>
      <c r="D37" s="10">
        <v>2</v>
      </c>
      <c r="E37" s="10">
        <v>6</v>
      </c>
      <c r="F37" s="10">
        <v>1</v>
      </c>
      <c r="G37" s="10">
        <v>11</v>
      </c>
      <c r="H37" s="10">
        <v>11</v>
      </c>
      <c r="I37" s="16" t="s">
        <v>16</v>
      </c>
      <c r="J37" s="17">
        <v>5</v>
      </c>
    </row>
    <row r="38" spans="1:10" x14ac:dyDescent="0.25">
      <c r="A38" s="10">
        <v>1425</v>
      </c>
      <c r="B38" s="20" t="s">
        <v>3</v>
      </c>
      <c r="C38" s="10">
        <v>21</v>
      </c>
      <c r="D38" s="10">
        <v>2</v>
      </c>
      <c r="E38" s="10">
        <v>6</v>
      </c>
      <c r="F38" s="10">
        <v>0</v>
      </c>
      <c r="G38" s="10">
        <v>14</v>
      </c>
      <c r="H38" s="10">
        <v>14</v>
      </c>
      <c r="I38" s="16"/>
      <c r="J38" s="17">
        <v>6</v>
      </c>
    </row>
    <row r="39" spans="1:10" x14ac:dyDescent="0.25">
      <c r="A39" s="10">
        <v>1425</v>
      </c>
      <c r="B39" s="20" t="s">
        <v>3</v>
      </c>
      <c r="C39" s="10">
        <v>20</v>
      </c>
      <c r="D39" s="10">
        <v>2</v>
      </c>
      <c r="E39" s="10">
        <v>6</v>
      </c>
      <c r="F39" s="10">
        <v>0</v>
      </c>
      <c r="G39" s="10">
        <v>13</v>
      </c>
      <c r="H39" s="10">
        <v>13</v>
      </c>
      <c r="I39" s="16" t="s">
        <v>16</v>
      </c>
      <c r="J39" s="17">
        <v>7</v>
      </c>
    </row>
    <row r="40" spans="1:10" x14ac:dyDescent="0.25">
      <c r="A40" s="10">
        <v>1425</v>
      </c>
      <c r="B40" s="20" t="s">
        <v>3</v>
      </c>
      <c r="C40" s="10">
        <v>17</v>
      </c>
      <c r="D40" s="10">
        <v>2</v>
      </c>
      <c r="E40" s="10">
        <v>6</v>
      </c>
      <c r="F40" s="10">
        <v>0</v>
      </c>
      <c r="G40" s="10">
        <v>12</v>
      </c>
      <c r="H40" s="10">
        <v>12</v>
      </c>
      <c r="I40" s="16"/>
      <c r="J40" s="17">
        <v>8</v>
      </c>
    </row>
    <row r="41" spans="1:10" x14ac:dyDescent="0.25">
      <c r="A41" s="10">
        <v>1425</v>
      </c>
      <c r="B41" s="20" t="s">
        <v>3</v>
      </c>
      <c r="C41" s="10">
        <v>18</v>
      </c>
      <c r="D41" s="10">
        <v>3</v>
      </c>
      <c r="E41" s="10">
        <v>5</v>
      </c>
      <c r="F41" s="10">
        <v>0</v>
      </c>
      <c r="G41" s="10">
        <v>18</v>
      </c>
      <c r="H41" s="10">
        <v>18</v>
      </c>
      <c r="I41" s="16" t="s">
        <v>16</v>
      </c>
      <c r="J41" s="17">
        <v>9</v>
      </c>
    </row>
    <row r="42" spans="1:10" x14ac:dyDescent="0.25">
      <c r="A42" s="10">
        <v>1425</v>
      </c>
      <c r="B42" s="20" t="s">
        <v>3</v>
      </c>
      <c r="C42" s="10">
        <v>15</v>
      </c>
      <c r="D42" s="10">
        <v>3</v>
      </c>
      <c r="E42" s="10">
        <v>5</v>
      </c>
      <c r="F42" s="10">
        <v>0</v>
      </c>
      <c r="G42" s="10">
        <v>19</v>
      </c>
      <c r="H42" s="10">
        <v>19</v>
      </c>
      <c r="I42" s="16"/>
      <c r="J42" s="17">
        <v>10</v>
      </c>
    </row>
    <row r="43" spans="1:10" x14ac:dyDescent="0.25">
      <c r="A43" s="10">
        <v>1425</v>
      </c>
      <c r="B43" s="20" t="s">
        <v>3</v>
      </c>
      <c r="C43" s="10">
        <v>11</v>
      </c>
      <c r="D43" s="10">
        <v>3</v>
      </c>
      <c r="E43" s="10">
        <v>5</v>
      </c>
      <c r="F43" s="10">
        <v>2</v>
      </c>
      <c r="G43" s="10">
        <v>13</v>
      </c>
      <c r="H43" s="10"/>
      <c r="I43" s="16"/>
      <c r="J43" s="17">
        <v>11</v>
      </c>
    </row>
    <row r="44" spans="1:10" x14ac:dyDescent="0.25">
      <c r="A44" s="10">
        <v>1425</v>
      </c>
      <c r="B44" s="20" t="s">
        <v>3</v>
      </c>
      <c r="C44" s="10">
        <v>9</v>
      </c>
      <c r="D44" s="10">
        <v>3</v>
      </c>
      <c r="E44" s="10">
        <v>5</v>
      </c>
      <c r="F44" s="10">
        <v>1</v>
      </c>
      <c r="G44" s="10">
        <v>16</v>
      </c>
      <c r="H44" s="10"/>
      <c r="I44" s="16"/>
      <c r="J44" s="17">
        <v>12</v>
      </c>
    </row>
    <row r="45" spans="1:10" x14ac:dyDescent="0.25">
      <c r="A45" s="10">
        <v>1425</v>
      </c>
      <c r="B45" s="20" t="s">
        <v>3</v>
      </c>
      <c r="C45" s="10">
        <v>7</v>
      </c>
      <c r="D45" s="10">
        <v>3</v>
      </c>
      <c r="E45" s="10">
        <v>4</v>
      </c>
      <c r="F45" s="10">
        <v>0</v>
      </c>
      <c r="G45" s="10">
        <v>22</v>
      </c>
      <c r="H45" s="10">
        <v>22</v>
      </c>
      <c r="I45" s="16"/>
      <c r="J45" s="17">
        <v>13</v>
      </c>
    </row>
    <row r="46" spans="1:10" x14ac:dyDescent="0.25">
      <c r="A46" s="10">
        <v>1425</v>
      </c>
      <c r="B46" s="20" t="s">
        <v>3</v>
      </c>
      <c r="C46" s="10">
        <v>6</v>
      </c>
      <c r="D46" s="10">
        <v>3</v>
      </c>
      <c r="E46" s="10">
        <v>4</v>
      </c>
      <c r="F46" s="10">
        <v>1</v>
      </c>
      <c r="G46" s="10">
        <v>21</v>
      </c>
      <c r="H46" s="10"/>
      <c r="I46" s="16" t="s">
        <v>16</v>
      </c>
      <c r="J46" s="17">
        <v>14</v>
      </c>
    </row>
    <row r="47" spans="1:10" x14ac:dyDescent="0.25">
      <c r="A47" s="10">
        <v>1425</v>
      </c>
      <c r="B47" s="20" t="s">
        <v>3</v>
      </c>
      <c r="C47" s="10"/>
      <c r="D47" s="10">
        <v>3</v>
      </c>
      <c r="E47" s="10"/>
      <c r="F47" s="10">
        <v>0</v>
      </c>
      <c r="G47" s="10"/>
      <c r="H47" s="10"/>
      <c r="I47" s="16"/>
      <c r="J47" s="17">
        <v>15</v>
      </c>
    </row>
    <row r="48" spans="1:10" x14ac:dyDescent="0.25">
      <c r="A48" s="10">
        <v>1425</v>
      </c>
      <c r="B48" s="20" t="s">
        <v>3</v>
      </c>
      <c r="C48" s="10"/>
      <c r="D48" s="10">
        <v>3</v>
      </c>
      <c r="E48" s="10"/>
      <c r="F48" s="10">
        <v>0</v>
      </c>
      <c r="G48" s="10"/>
      <c r="H48" s="10"/>
      <c r="I48" s="16"/>
      <c r="J48" s="17">
        <v>16</v>
      </c>
    </row>
    <row r="49" spans="1:10" x14ac:dyDescent="0.25">
      <c r="A49" s="10">
        <v>1425</v>
      </c>
      <c r="B49" s="20" t="s">
        <v>3</v>
      </c>
      <c r="C49" s="10"/>
      <c r="D49" s="10">
        <v>3</v>
      </c>
      <c r="E49" s="10"/>
      <c r="F49" s="10">
        <v>0</v>
      </c>
      <c r="G49" s="10"/>
      <c r="H49" s="10"/>
      <c r="I49" s="16"/>
      <c r="J49" s="17">
        <v>17</v>
      </c>
    </row>
    <row r="50" spans="1:10" x14ac:dyDescent="0.25">
      <c r="A50" s="10">
        <v>1425</v>
      </c>
      <c r="B50" s="20" t="s">
        <v>3</v>
      </c>
      <c r="C50" s="10"/>
      <c r="D50" s="10"/>
      <c r="E50" s="10"/>
      <c r="F50" s="10">
        <v>0</v>
      </c>
      <c r="G50" s="10"/>
      <c r="H50" s="10"/>
      <c r="I50" s="16"/>
      <c r="J50" s="17">
        <v>18</v>
      </c>
    </row>
    <row r="51" spans="1:10" x14ac:dyDescent="0.25">
      <c r="A51" s="10">
        <v>1425</v>
      </c>
      <c r="B51" s="20" t="s">
        <v>3</v>
      </c>
      <c r="C51" s="10"/>
      <c r="D51" s="10"/>
      <c r="E51" s="10"/>
      <c r="F51" s="10">
        <v>0</v>
      </c>
      <c r="G51" s="10"/>
      <c r="H51" s="10"/>
      <c r="I51" s="16"/>
      <c r="J51" s="17">
        <v>19</v>
      </c>
    </row>
    <row r="52" spans="1:10" x14ac:dyDescent="0.25">
      <c r="A52" s="10">
        <v>1425</v>
      </c>
      <c r="B52" s="21" t="s">
        <v>4</v>
      </c>
      <c r="C52" s="10">
        <v>29</v>
      </c>
      <c r="D52" s="10">
        <v>1</v>
      </c>
      <c r="E52" s="10">
        <v>9</v>
      </c>
      <c r="F52" s="10">
        <v>1</v>
      </c>
      <c r="G52" s="10">
        <v>7</v>
      </c>
      <c r="H52" s="10"/>
      <c r="I52" s="16"/>
      <c r="J52" s="17">
        <v>1</v>
      </c>
    </row>
    <row r="53" spans="1:10" x14ac:dyDescent="0.25">
      <c r="A53" s="10">
        <v>1425</v>
      </c>
      <c r="B53" s="21" t="s">
        <v>4</v>
      </c>
      <c r="C53" s="10">
        <v>23</v>
      </c>
      <c r="D53" s="10">
        <v>1</v>
      </c>
      <c r="E53" s="10">
        <v>7</v>
      </c>
      <c r="F53" s="10">
        <v>0</v>
      </c>
      <c r="G53" s="10">
        <v>10</v>
      </c>
      <c r="H53" s="10">
        <v>10</v>
      </c>
      <c r="I53" s="16"/>
      <c r="J53" s="17">
        <v>2</v>
      </c>
    </row>
    <row r="54" spans="1:10" x14ac:dyDescent="0.25">
      <c r="A54" s="10">
        <v>1425</v>
      </c>
      <c r="B54" s="21" t="s">
        <v>4</v>
      </c>
      <c r="C54" s="10">
        <v>30</v>
      </c>
      <c r="D54" s="10">
        <v>1</v>
      </c>
      <c r="E54" s="10">
        <v>6</v>
      </c>
      <c r="F54" s="10">
        <v>1</v>
      </c>
      <c r="G54" s="10">
        <v>16</v>
      </c>
      <c r="H54" s="10"/>
      <c r="I54" s="16" t="s">
        <v>16</v>
      </c>
      <c r="J54" s="17">
        <v>3</v>
      </c>
    </row>
    <row r="55" spans="1:10" x14ac:dyDescent="0.25">
      <c r="A55" s="10">
        <v>1425</v>
      </c>
      <c r="B55" s="21" t="s">
        <v>4</v>
      </c>
      <c r="C55" s="10">
        <v>28</v>
      </c>
      <c r="D55" s="10">
        <v>1</v>
      </c>
      <c r="E55" s="10">
        <v>6</v>
      </c>
      <c r="F55" s="10">
        <v>1</v>
      </c>
      <c r="G55" s="10">
        <v>15</v>
      </c>
      <c r="H55" s="10"/>
      <c r="I55" s="16" t="s">
        <v>16</v>
      </c>
      <c r="J55" s="17">
        <v>4</v>
      </c>
    </row>
    <row r="56" spans="1:10" x14ac:dyDescent="0.25">
      <c r="A56" s="10">
        <v>1425</v>
      </c>
      <c r="B56" s="21" t="s">
        <v>4</v>
      </c>
      <c r="C56" s="10">
        <v>26</v>
      </c>
      <c r="D56" s="10">
        <v>2</v>
      </c>
      <c r="E56" s="10">
        <v>6</v>
      </c>
      <c r="F56" s="10">
        <v>0</v>
      </c>
      <c r="G56" s="10">
        <v>13</v>
      </c>
      <c r="H56" s="10">
        <v>13</v>
      </c>
      <c r="I56" s="16" t="s">
        <v>16</v>
      </c>
      <c r="J56" s="17">
        <v>5</v>
      </c>
    </row>
    <row r="57" spans="1:10" x14ac:dyDescent="0.25">
      <c r="A57" s="10">
        <v>1425</v>
      </c>
      <c r="B57" s="21" t="s">
        <v>4</v>
      </c>
      <c r="C57" s="10">
        <v>22</v>
      </c>
      <c r="D57" s="10">
        <v>2</v>
      </c>
      <c r="E57" s="10">
        <v>6</v>
      </c>
      <c r="F57" s="10">
        <v>0</v>
      </c>
      <c r="G57" s="10">
        <v>15</v>
      </c>
      <c r="H57" s="10">
        <v>15</v>
      </c>
      <c r="I57" s="16" t="s">
        <v>16</v>
      </c>
      <c r="J57" s="17">
        <v>6</v>
      </c>
    </row>
    <row r="58" spans="1:10" x14ac:dyDescent="0.25">
      <c r="A58" s="10">
        <v>1425</v>
      </c>
      <c r="B58" s="21" t="s">
        <v>4</v>
      </c>
      <c r="C58" s="10">
        <v>21</v>
      </c>
      <c r="D58" s="10">
        <v>2</v>
      </c>
      <c r="E58" s="10">
        <v>6</v>
      </c>
      <c r="F58" s="10">
        <v>0</v>
      </c>
      <c r="G58" s="10">
        <v>15</v>
      </c>
      <c r="H58" s="10">
        <v>15</v>
      </c>
      <c r="I58" s="16"/>
      <c r="J58" s="17">
        <v>7</v>
      </c>
    </row>
    <row r="59" spans="1:10" x14ac:dyDescent="0.25">
      <c r="A59" s="10">
        <v>1425</v>
      </c>
      <c r="B59" s="21" t="s">
        <v>4</v>
      </c>
      <c r="C59" s="10">
        <v>17</v>
      </c>
      <c r="D59" s="10">
        <v>2</v>
      </c>
      <c r="E59" s="10">
        <v>6</v>
      </c>
      <c r="F59" s="10">
        <v>1</v>
      </c>
      <c r="G59" s="10">
        <v>13</v>
      </c>
      <c r="H59" s="10"/>
      <c r="I59" s="16"/>
      <c r="J59" s="17">
        <v>8</v>
      </c>
    </row>
    <row r="60" spans="1:10" x14ac:dyDescent="0.25">
      <c r="A60" s="10">
        <v>1425</v>
      </c>
      <c r="B60" s="21" t="s">
        <v>4</v>
      </c>
      <c r="C60" s="10">
        <v>24</v>
      </c>
      <c r="D60" s="10">
        <v>3</v>
      </c>
      <c r="E60" s="10">
        <v>5</v>
      </c>
      <c r="F60" s="10">
        <v>1</v>
      </c>
      <c r="G60" s="10">
        <v>19</v>
      </c>
      <c r="H60" s="10"/>
      <c r="I60" s="16" t="s">
        <v>16</v>
      </c>
      <c r="J60" s="17">
        <v>9</v>
      </c>
    </row>
    <row r="61" spans="1:10" x14ac:dyDescent="0.25">
      <c r="A61" s="10">
        <v>1425</v>
      </c>
      <c r="B61" s="21" t="s">
        <v>4</v>
      </c>
      <c r="C61" s="10">
        <v>11</v>
      </c>
      <c r="D61" s="10">
        <v>3</v>
      </c>
      <c r="E61" s="10">
        <v>5</v>
      </c>
      <c r="F61" s="10">
        <v>2</v>
      </c>
      <c r="G61" s="10">
        <v>18</v>
      </c>
      <c r="H61" s="10"/>
      <c r="I61" s="16"/>
      <c r="J61" s="17">
        <v>10</v>
      </c>
    </row>
    <row r="62" spans="1:10" x14ac:dyDescent="0.25">
      <c r="A62" s="10">
        <v>1425</v>
      </c>
      <c r="B62" s="21" t="s">
        <v>4</v>
      </c>
      <c r="C62" s="10">
        <v>20</v>
      </c>
      <c r="D62" s="10">
        <v>3</v>
      </c>
      <c r="E62" s="10">
        <v>4</v>
      </c>
      <c r="F62" s="10">
        <v>0</v>
      </c>
      <c r="G62" s="10">
        <v>22</v>
      </c>
      <c r="H62" s="10"/>
      <c r="I62" s="16" t="s">
        <v>16</v>
      </c>
      <c r="J62" s="17">
        <v>11</v>
      </c>
    </row>
    <row r="63" spans="1:10" x14ac:dyDescent="0.25">
      <c r="A63" s="10">
        <v>1425</v>
      </c>
      <c r="B63" s="21" t="s">
        <v>4</v>
      </c>
      <c r="C63" s="10">
        <v>19</v>
      </c>
      <c r="D63" s="10">
        <v>3</v>
      </c>
      <c r="E63" s="10">
        <v>4</v>
      </c>
      <c r="F63" s="10">
        <v>1</v>
      </c>
      <c r="G63" s="10">
        <v>14</v>
      </c>
      <c r="H63" s="10"/>
      <c r="I63" s="16"/>
      <c r="J63" s="17">
        <v>12</v>
      </c>
    </row>
    <row r="64" spans="1:10" x14ac:dyDescent="0.25">
      <c r="A64" s="10">
        <v>1425</v>
      </c>
      <c r="B64" s="21" t="s">
        <v>4</v>
      </c>
      <c r="C64" s="10">
        <v>14</v>
      </c>
      <c r="D64" s="10">
        <v>3</v>
      </c>
      <c r="E64" s="10">
        <v>4</v>
      </c>
      <c r="F64" s="10">
        <v>1</v>
      </c>
      <c r="G64" s="10">
        <v>13</v>
      </c>
      <c r="H64" s="10"/>
      <c r="I64" s="16" t="s">
        <v>16</v>
      </c>
      <c r="J64" s="17">
        <v>13</v>
      </c>
    </row>
    <row r="65" spans="1:10" x14ac:dyDescent="0.25">
      <c r="A65" s="10">
        <v>1425</v>
      </c>
      <c r="B65" s="21" t="s">
        <v>4</v>
      </c>
      <c r="C65" s="10">
        <v>13</v>
      </c>
      <c r="D65" s="10">
        <v>3</v>
      </c>
      <c r="E65" s="10">
        <v>4</v>
      </c>
      <c r="F65" s="10">
        <v>2</v>
      </c>
      <c r="G65" s="10">
        <v>23</v>
      </c>
      <c r="H65" s="10"/>
      <c r="I65" s="16"/>
      <c r="J65" s="17">
        <v>14</v>
      </c>
    </row>
    <row r="66" spans="1:10" x14ac:dyDescent="0.25">
      <c r="A66" s="10">
        <v>1425</v>
      </c>
      <c r="B66" s="21" t="s">
        <v>4</v>
      </c>
      <c r="C66" s="10"/>
      <c r="D66" s="10"/>
      <c r="E66" s="10"/>
      <c r="F66" s="10">
        <v>1</v>
      </c>
      <c r="G66" s="10"/>
      <c r="H66" s="10"/>
      <c r="I66" s="16"/>
      <c r="J66" s="17">
        <v>15</v>
      </c>
    </row>
    <row r="67" spans="1:10" x14ac:dyDescent="0.25">
      <c r="A67" s="10">
        <v>1425</v>
      </c>
      <c r="B67" s="21" t="s">
        <v>4</v>
      </c>
      <c r="C67" s="10"/>
      <c r="D67" s="10"/>
      <c r="E67" s="10"/>
      <c r="F67" s="10">
        <v>1</v>
      </c>
      <c r="G67" s="10"/>
      <c r="H67" s="10"/>
      <c r="I67" s="16"/>
      <c r="J67" s="17">
        <v>16</v>
      </c>
    </row>
    <row r="68" spans="1:10" x14ac:dyDescent="0.25">
      <c r="A68" s="10">
        <v>1425</v>
      </c>
      <c r="B68" s="21" t="s">
        <v>4</v>
      </c>
      <c r="C68" s="10"/>
      <c r="D68" s="10"/>
      <c r="E68" s="10"/>
      <c r="F68" s="10">
        <v>1</v>
      </c>
      <c r="G68" s="10"/>
      <c r="H68" s="10"/>
      <c r="I68" s="16"/>
      <c r="J68" s="17">
        <v>17</v>
      </c>
    </row>
    <row r="69" spans="1:10" x14ac:dyDescent="0.25">
      <c r="A69" s="10">
        <v>1425</v>
      </c>
      <c r="B69" s="21" t="s">
        <v>4</v>
      </c>
      <c r="C69" s="10"/>
      <c r="D69" s="10"/>
      <c r="E69" s="10"/>
      <c r="F69" s="10">
        <v>1</v>
      </c>
      <c r="G69" s="10"/>
      <c r="H69" s="10"/>
      <c r="I69" s="16"/>
      <c r="J69" s="17">
        <v>18</v>
      </c>
    </row>
    <row r="70" spans="1:10" x14ac:dyDescent="0.25">
      <c r="A70" s="10">
        <v>1425</v>
      </c>
      <c r="B70" s="21" t="s">
        <v>4</v>
      </c>
      <c r="C70" s="10"/>
      <c r="D70" s="10"/>
      <c r="E70" s="10"/>
      <c r="F70" s="10">
        <v>1</v>
      </c>
      <c r="G70" s="10"/>
      <c r="H70" s="10"/>
      <c r="I70" s="16"/>
      <c r="J70" s="17">
        <v>19</v>
      </c>
    </row>
    <row r="71" spans="1:10" x14ac:dyDescent="0.25">
      <c r="A71" s="10">
        <v>1425</v>
      </c>
      <c r="B71" s="22" t="s">
        <v>5</v>
      </c>
      <c r="C71" s="10">
        <v>31</v>
      </c>
      <c r="D71" s="10">
        <v>1</v>
      </c>
      <c r="E71" s="10">
        <v>11</v>
      </c>
      <c r="F71" s="10">
        <v>2</v>
      </c>
      <c r="G71" s="10">
        <v>7</v>
      </c>
      <c r="H71" s="10"/>
      <c r="I71" s="16" t="s">
        <v>16</v>
      </c>
      <c r="J71" s="17">
        <v>1</v>
      </c>
    </row>
    <row r="72" spans="1:10" x14ac:dyDescent="0.25">
      <c r="A72" s="10">
        <v>1425</v>
      </c>
      <c r="B72" s="22" t="s">
        <v>5</v>
      </c>
      <c r="C72" s="10">
        <v>29</v>
      </c>
      <c r="D72" s="10">
        <v>1</v>
      </c>
      <c r="E72" s="10">
        <v>10</v>
      </c>
      <c r="F72" s="10">
        <v>1</v>
      </c>
      <c r="G72" s="10">
        <v>9</v>
      </c>
      <c r="H72" s="10"/>
      <c r="I72" s="16" t="s">
        <v>16</v>
      </c>
      <c r="J72" s="17">
        <v>2</v>
      </c>
    </row>
    <row r="73" spans="1:10" x14ac:dyDescent="0.25">
      <c r="A73" s="10">
        <v>1425</v>
      </c>
      <c r="B73" s="22" t="s">
        <v>5</v>
      </c>
      <c r="C73" s="10">
        <v>28</v>
      </c>
      <c r="D73" s="10">
        <v>1</v>
      </c>
      <c r="E73" s="10">
        <v>8</v>
      </c>
      <c r="F73" s="10">
        <v>0</v>
      </c>
      <c r="G73" s="10">
        <v>11</v>
      </c>
      <c r="H73" s="10">
        <v>11</v>
      </c>
      <c r="I73" s="16"/>
      <c r="J73" s="17">
        <v>3</v>
      </c>
    </row>
    <row r="74" spans="1:10" x14ac:dyDescent="0.25">
      <c r="A74" s="10">
        <v>1425</v>
      </c>
      <c r="B74" s="22" t="s">
        <v>5</v>
      </c>
      <c r="C74" s="10">
        <v>24</v>
      </c>
      <c r="D74" s="10">
        <v>2</v>
      </c>
      <c r="E74" s="10">
        <v>8</v>
      </c>
      <c r="F74" s="10">
        <v>0</v>
      </c>
      <c r="G74" s="10">
        <v>11</v>
      </c>
      <c r="H74" s="10">
        <v>11</v>
      </c>
      <c r="I74" s="16"/>
      <c r="J74" s="17">
        <v>4</v>
      </c>
    </row>
    <row r="75" spans="1:10" x14ac:dyDescent="0.25">
      <c r="A75" s="10">
        <v>1425</v>
      </c>
      <c r="B75" s="22" t="s">
        <v>5</v>
      </c>
      <c r="C75" s="10">
        <v>33</v>
      </c>
      <c r="D75" s="10">
        <v>2</v>
      </c>
      <c r="E75" s="10">
        <v>7</v>
      </c>
      <c r="F75" s="10">
        <v>1</v>
      </c>
      <c r="G75" s="10">
        <v>10</v>
      </c>
      <c r="H75" s="10"/>
      <c r="I75" s="16" t="s">
        <v>16</v>
      </c>
      <c r="J75" s="17">
        <v>5</v>
      </c>
    </row>
    <row r="76" spans="1:10" x14ac:dyDescent="0.25">
      <c r="A76" s="10">
        <v>1425</v>
      </c>
      <c r="B76" s="22" t="s">
        <v>5</v>
      </c>
      <c r="C76" s="10">
        <v>32</v>
      </c>
      <c r="D76" s="10">
        <v>2</v>
      </c>
      <c r="E76" s="10">
        <v>6</v>
      </c>
      <c r="F76" s="10">
        <v>0</v>
      </c>
      <c r="G76" s="10">
        <v>16</v>
      </c>
      <c r="H76" s="10">
        <v>16</v>
      </c>
      <c r="I76" s="16"/>
      <c r="J76" s="17">
        <v>6</v>
      </c>
    </row>
    <row r="77" spans="1:10" x14ac:dyDescent="0.25">
      <c r="A77" s="10">
        <v>1425</v>
      </c>
      <c r="B77" s="22" t="s">
        <v>5</v>
      </c>
      <c r="C77" s="10">
        <v>37</v>
      </c>
      <c r="D77" s="10">
        <v>3</v>
      </c>
      <c r="E77" s="10">
        <v>5</v>
      </c>
      <c r="F77" s="10">
        <v>1</v>
      </c>
      <c r="G77" s="10">
        <v>15</v>
      </c>
      <c r="H77" s="10"/>
      <c r="I77" s="16" t="s">
        <v>16</v>
      </c>
      <c r="J77" s="17">
        <v>7</v>
      </c>
    </row>
    <row r="78" spans="1:10" x14ac:dyDescent="0.25">
      <c r="A78" s="10">
        <v>1425</v>
      </c>
      <c r="B78" s="22" t="s">
        <v>5</v>
      </c>
      <c r="C78" s="10">
        <v>34</v>
      </c>
      <c r="D78" s="10">
        <v>3</v>
      </c>
      <c r="E78" s="10">
        <v>5</v>
      </c>
      <c r="F78" s="10">
        <v>1</v>
      </c>
      <c r="G78" s="10">
        <v>7</v>
      </c>
      <c r="H78" s="10"/>
      <c r="I78" s="16"/>
      <c r="J78" s="17">
        <v>8</v>
      </c>
    </row>
    <row r="79" spans="1:10" x14ac:dyDescent="0.25">
      <c r="A79" s="10">
        <v>1425</v>
      </c>
      <c r="B79" s="22" t="s">
        <v>5</v>
      </c>
      <c r="C79" s="10">
        <v>30</v>
      </c>
      <c r="D79" s="10">
        <v>3</v>
      </c>
      <c r="E79" s="10">
        <v>5</v>
      </c>
      <c r="F79" s="10">
        <v>0</v>
      </c>
      <c r="G79" s="10">
        <v>17</v>
      </c>
      <c r="H79" s="10"/>
      <c r="I79" s="16"/>
      <c r="J79" s="17">
        <v>9</v>
      </c>
    </row>
    <row r="80" spans="1:10" x14ac:dyDescent="0.25">
      <c r="A80" s="10">
        <v>1425</v>
      </c>
      <c r="B80" s="22" t="s">
        <v>5</v>
      </c>
      <c r="C80" s="10">
        <v>27</v>
      </c>
      <c r="D80" s="10">
        <v>3</v>
      </c>
      <c r="E80" s="10">
        <v>5</v>
      </c>
      <c r="F80" s="10">
        <v>1</v>
      </c>
      <c r="G80" s="10">
        <v>19</v>
      </c>
      <c r="H80" s="10"/>
      <c r="I80" s="16" t="s">
        <v>16</v>
      </c>
      <c r="J80" s="17">
        <v>10</v>
      </c>
    </row>
    <row r="81" spans="1:10" x14ac:dyDescent="0.25">
      <c r="A81" s="10">
        <v>1425</v>
      </c>
      <c r="B81" s="22" t="s">
        <v>5</v>
      </c>
      <c r="C81" s="10">
        <v>26</v>
      </c>
      <c r="D81" s="10">
        <v>3</v>
      </c>
      <c r="E81" s="10">
        <v>4</v>
      </c>
      <c r="F81" s="10">
        <v>0</v>
      </c>
      <c r="G81" s="10">
        <v>22</v>
      </c>
      <c r="H81" s="10">
        <v>22</v>
      </c>
      <c r="I81" s="16"/>
      <c r="J81" s="17">
        <v>11</v>
      </c>
    </row>
    <row r="82" spans="1:10" x14ac:dyDescent="0.25">
      <c r="A82" s="10">
        <v>1425</v>
      </c>
      <c r="B82" s="22" t="s">
        <v>5</v>
      </c>
      <c r="C82" s="10"/>
      <c r="D82" s="10">
        <v>3</v>
      </c>
      <c r="E82" s="10"/>
      <c r="F82" s="10">
        <v>1</v>
      </c>
      <c r="G82" s="10"/>
      <c r="H82" s="10"/>
      <c r="I82" s="16"/>
      <c r="J82" s="17">
        <v>12</v>
      </c>
    </row>
    <row r="83" spans="1:10" x14ac:dyDescent="0.25">
      <c r="A83" s="10">
        <v>1425</v>
      </c>
      <c r="B83" s="22" t="s">
        <v>5</v>
      </c>
      <c r="C83" s="10"/>
      <c r="D83" s="10">
        <v>3</v>
      </c>
      <c r="E83" s="10"/>
      <c r="F83" s="10">
        <v>1</v>
      </c>
      <c r="G83" s="10"/>
      <c r="H83" s="10"/>
      <c r="I83" s="16"/>
      <c r="J83" s="17">
        <v>13</v>
      </c>
    </row>
    <row r="84" spans="1:10" x14ac:dyDescent="0.25">
      <c r="A84" s="10">
        <v>1425</v>
      </c>
      <c r="B84" s="22" t="s">
        <v>5</v>
      </c>
      <c r="C84" s="10"/>
      <c r="D84" s="10">
        <v>3</v>
      </c>
      <c r="E84" s="10"/>
      <c r="F84" s="10">
        <v>1</v>
      </c>
      <c r="G84" s="10"/>
      <c r="H84" s="10"/>
      <c r="I84" s="16"/>
      <c r="J84" s="17">
        <v>14</v>
      </c>
    </row>
    <row r="85" spans="1:10" x14ac:dyDescent="0.25">
      <c r="A85" s="10">
        <v>1425</v>
      </c>
      <c r="B85" s="22" t="s">
        <v>5</v>
      </c>
      <c r="C85" s="10"/>
      <c r="D85" s="10">
        <v>3</v>
      </c>
      <c r="E85" s="10"/>
      <c r="F85" s="10">
        <v>1</v>
      </c>
      <c r="G85" s="10"/>
      <c r="H85" s="10"/>
      <c r="I85" s="16"/>
      <c r="J85" s="17">
        <v>15</v>
      </c>
    </row>
    <row r="86" spans="1:10" x14ac:dyDescent="0.25">
      <c r="A86" s="10">
        <v>1425</v>
      </c>
      <c r="B86" s="23" t="s">
        <v>6</v>
      </c>
      <c r="C86" s="10">
        <v>39</v>
      </c>
      <c r="D86" s="10">
        <v>1</v>
      </c>
      <c r="E86" s="10">
        <v>20</v>
      </c>
      <c r="F86" s="10">
        <v>5</v>
      </c>
      <c r="G86" s="10">
        <v>3</v>
      </c>
      <c r="H86" s="10"/>
      <c r="I86" s="16"/>
      <c r="J86" s="17">
        <v>1</v>
      </c>
    </row>
    <row r="87" spans="1:10" x14ac:dyDescent="0.25">
      <c r="A87" s="10">
        <v>1425</v>
      </c>
      <c r="B87" s="23" t="s">
        <v>6</v>
      </c>
      <c r="C87" s="10">
        <v>38</v>
      </c>
      <c r="D87" s="10">
        <v>1</v>
      </c>
      <c r="E87" s="10">
        <v>12</v>
      </c>
      <c r="F87" s="10">
        <v>1</v>
      </c>
      <c r="G87" s="10">
        <v>7</v>
      </c>
      <c r="H87" s="10"/>
      <c r="I87" s="16" t="s">
        <v>16</v>
      </c>
      <c r="J87" s="17">
        <v>2</v>
      </c>
    </row>
    <row r="88" spans="1:10" x14ac:dyDescent="0.25">
      <c r="A88" s="10">
        <v>1425</v>
      </c>
      <c r="B88" s="23" t="s">
        <v>6</v>
      </c>
      <c r="C88" s="10">
        <v>36</v>
      </c>
      <c r="D88" s="10">
        <v>2</v>
      </c>
      <c r="E88" s="10">
        <v>12</v>
      </c>
      <c r="F88" s="10">
        <v>1</v>
      </c>
      <c r="G88" s="10">
        <v>6</v>
      </c>
      <c r="H88" s="10"/>
      <c r="I88" s="16" t="s">
        <v>16</v>
      </c>
      <c r="J88" s="17">
        <v>3</v>
      </c>
    </row>
    <row r="89" spans="1:10" x14ac:dyDescent="0.25">
      <c r="A89" s="10">
        <v>1425</v>
      </c>
      <c r="B89" s="23" t="s">
        <v>6</v>
      </c>
      <c r="C89" s="10">
        <v>37</v>
      </c>
      <c r="D89" s="10">
        <v>2</v>
      </c>
      <c r="E89" s="10">
        <v>8</v>
      </c>
      <c r="F89" s="10">
        <v>0</v>
      </c>
      <c r="G89" s="10">
        <v>11</v>
      </c>
      <c r="H89" s="10">
        <v>11</v>
      </c>
      <c r="I89" s="16"/>
      <c r="J89" s="17">
        <v>4</v>
      </c>
    </row>
    <row r="90" spans="1:10" x14ac:dyDescent="0.25">
      <c r="A90" s="10">
        <v>1425</v>
      </c>
      <c r="B90" s="23" t="s">
        <v>6</v>
      </c>
      <c r="C90" s="10">
        <v>35</v>
      </c>
      <c r="D90" s="10">
        <v>3</v>
      </c>
      <c r="E90" s="10">
        <v>7</v>
      </c>
      <c r="F90" s="10">
        <v>0</v>
      </c>
      <c r="G90" s="10">
        <v>11</v>
      </c>
      <c r="H90" s="10">
        <v>11</v>
      </c>
      <c r="I90" s="16"/>
      <c r="J90" s="17">
        <v>5</v>
      </c>
    </row>
    <row r="91" spans="1:10" x14ac:dyDescent="0.25">
      <c r="A91" s="10">
        <v>1425</v>
      </c>
      <c r="B91" s="23" t="s">
        <v>6</v>
      </c>
      <c r="C91" s="10">
        <v>33</v>
      </c>
      <c r="D91" s="10">
        <v>3</v>
      </c>
      <c r="E91" s="10">
        <v>7</v>
      </c>
      <c r="F91" s="10">
        <v>0</v>
      </c>
      <c r="G91" s="10">
        <v>8</v>
      </c>
      <c r="H91" s="10">
        <v>8</v>
      </c>
      <c r="I91" s="16"/>
      <c r="J91" s="17">
        <v>6</v>
      </c>
    </row>
    <row r="92" spans="1:10" x14ac:dyDescent="0.25">
      <c r="A92" s="10">
        <v>1425</v>
      </c>
      <c r="B92" s="23" t="s">
        <v>6</v>
      </c>
      <c r="C92" s="10">
        <v>32</v>
      </c>
      <c r="D92" s="10">
        <v>3</v>
      </c>
      <c r="E92" s="10">
        <v>7</v>
      </c>
      <c r="F92" s="10">
        <v>0</v>
      </c>
      <c r="G92" s="10">
        <v>12</v>
      </c>
      <c r="H92" s="10">
        <v>12</v>
      </c>
      <c r="I92" s="16" t="s">
        <v>16</v>
      </c>
      <c r="J92" s="17">
        <v>7</v>
      </c>
    </row>
    <row r="93" spans="1:10" x14ac:dyDescent="0.25">
      <c r="A93" s="10">
        <v>1425</v>
      </c>
      <c r="B93" s="23" t="s">
        <v>6</v>
      </c>
      <c r="C93" s="10">
        <v>34</v>
      </c>
      <c r="D93" s="10">
        <v>3</v>
      </c>
      <c r="E93" s="10">
        <v>6</v>
      </c>
      <c r="F93" s="10">
        <v>1</v>
      </c>
      <c r="G93" s="10">
        <v>15</v>
      </c>
      <c r="H93" s="10"/>
      <c r="I93" s="16" t="s">
        <v>16</v>
      </c>
      <c r="J93" s="17">
        <v>8</v>
      </c>
    </row>
    <row r="94" spans="1:10" x14ac:dyDescent="0.25">
      <c r="A94" s="10">
        <v>1425</v>
      </c>
      <c r="B94" s="23" t="s">
        <v>6</v>
      </c>
      <c r="C94" s="10"/>
      <c r="D94" s="10">
        <v>3</v>
      </c>
      <c r="E94" s="10"/>
      <c r="F94" s="10">
        <v>0</v>
      </c>
      <c r="G94" s="10"/>
      <c r="H94" s="10"/>
      <c r="I94" s="16"/>
      <c r="J94" s="17">
        <v>9</v>
      </c>
    </row>
    <row r="95" spans="1:10" x14ac:dyDescent="0.25">
      <c r="A95" s="10">
        <v>1425</v>
      </c>
      <c r="B95" s="23" t="s">
        <v>6</v>
      </c>
      <c r="C95" s="10"/>
      <c r="D95" s="10">
        <v>3</v>
      </c>
      <c r="E95" s="10"/>
      <c r="F95" s="10">
        <v>0</v>
      </c>
      <c r="G95" s="10"/>
      <c r="H95" s="10"/>
      <c r="I95" s="16"/>
      <c r="J95" s="17">
        <v>10</v>
      </c>
    </row>
    <row r="96" spans="1:10" x14ac:dyDescent="0.25">
      <c r="A96" s="10">
        <v>1425</v>
      </c>
      <c r="B96" s="23" t="s">
        <v>6</v>
      </c>
      <c r="C96" s="10"/>
      <c r="D96" s="10">
        <v>3</v>
      </c>
      <c r="E96" s="10"/>
      <c r="F96" s="10">
        <v>0</v>
      </c>
      <c r="G96" s="10"/>
      <c r="H96" s="10"/>
      <c r="I96" s="16"/>
      <c r="J96" s="17">
        <v>11</v>
      </c>
    </row>
    <row r="104" spans="1:10" x14ac:dyDescent="0.25">
      <c r="J104" s="28"/>
    </row>
    <row r="111" spans="1:10" x14ac:dyDescent="0.25">
      <c r="A111" s="28"/>
      <c r="B111" s="28"/>
      <c r="C111" s="28"/>
      <c r="D111" s="28"/>
      <c r="E111" s="28"/>
      <c r="F111" s="28"/>
      <c r="G111" s="28"/>
      <c r="H111" s="28"/>
    </row>
  </sheetData>
  <autoFilter ref="A1:I96" xr:uid="{00000000-0009-0000-0000-000002000000}"/>
  <pageMargins left="0.7" right="0.7" top="0.75" bottom="0.75" header="0.3" footer="0.3"/>
  <pageSetup orientation="portrait" horizontalDpi="4294967294" r:id="rId1"/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defaultSize="0" autoLine="0" r:id="rId5">
            <anchor moveWithCells="1">
              <from>
                <xdr:col>11</xdr:col>
                <xdr:colOff>104775</xdr:colOff>
                <xdr:row>0</xdr:row>
                <xdr:rowOff>0</xdr:rowOff>
              </from>
              <to>
                <xdr:col>12</xdr:col>
                <xdr:colOff>600075</xdr:colOff>
                <xdr:row>1</xdr:row>
                <xdr:rowOff>161925</xdr:rowOff>
              </to>
            </anchor>
          </controlPr>
        </control>
      </mc:Choice>
      <mc:Fallback>
        <control shapeId="1038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96"/>
  <sheetViews>
    <sheetView topLeftCell="A70" workbookViewId="0">
      <selection activeCell="A2" sqref="A2:A96"/>
    </sheetView>
  </sheetViews>
  <sheetFormatPr defaultColWidth="11.42578125" defaultRowHeight="15" x14ac:dyDescent="0.25"/>
  <sheetData>
    <row r="1" spans="1:1" x14ac:dyDescent="0.25">
      <c r="A1" s="2" t="s">
        <v>82</v>
      </c>
    </row>
    <row r="2" spans="1:1" x14ac:dyDescent="0.25">
      <c r="A2" t="str">
        <f>$A$1&amp;'MR Gigaloterias'!A2&amp;",'"&amp;'MR Gigaloterias'!B2&amp;"',"&amp;'MR Gigaloterias'!C2&amp;","&amp;'MR Gigaloterias'!D2&amp;","&amp;'MR Gigaloterias'!E2&amp;","&amp;'MR Gigaloterias'!F2&amp;","&amp;'MR Gigaloterias'!G2&amp;","&amp;IF(('MR Gigaloterias'!H2)="","NULL",('MR Gigaloterias'!H2))&amp;","&amp;IF(('MR Gigaloterias'!I2)="","NULL","'"&amp;('MR Gigaloterias'!I2)&amp;"'")&amp;","&amp;IF(('MR Gigaloterias'!J2)="","NULL",('MR Gigaloterias'!J2))&amp;");"</f>
        <v>INSERT INTO OLAP_SYS.S_CALCULO_STATS (DRAWING_TYPE,DRAWING_ID,B_TYPE,DIGIT,COLOR_UBICACION,UBICACION,LEY_TERCIO,CICLO_APARICION,PRONOS_CICLO,PREFERENCIA_FLAG,RANGO_LEY_TERCIO) VALUES('mrtr',1425,'B1',2,1,18,1,4,NULL,'X',1);</v>
      </c>
    </row>
    <row r="3" spans="1:1" x14ac:dyDescent="0.25">
      <c r="A3" t="str">
        <f>$A$1&amp;'MR Gigaloterias'!A3&amp;",'"&amp;'MR Gigaloterias'!B3&amp;"',"&amp;'MR Gigaloterias'!C3&amp;","&amp;'MR Gigaloterias'!D3&amp;","&amp;'MR Gigaloterias'!E3&amp;","&amp;'MR Gigaloterias'!F3&amp;","&amp;'MR Gigaloterias'!G3&amp;","&amp;IF(('MR Gigaloterias'!H3)="","NULL",('MR Gigaloterias'!H3))&amp;","&amp;IF(('MR Gigaloterias'!I3)="","NULL","'"&amp;('MR Gigaloterias'!I3)&amp;"'")&amp;","&amp;IF(('MR Gigaloterias'!J3)="","NULL",('MR Gigaloterias'!J3))&amp;");"</f>
        <v>INSERT INTO OLAP_SYS.S_CALCULO_STATS (DRAWING_TYPE,DRAWING_ID,B_TYPE,DIGIT,COLOR_UBICACION,UBICACION,LEY_TERCIO,CICLO_APARICION,PRONOS_CICLO,PREFERENCIA_FLAG,RANGO_LEY_TERCIO) VALUES('mrtr',1425,'B1',4,1,15,2,6,NULL,'X',2);</v>
      </c>
    </row>
    <row r="4" spans="1:1" x14ac:dyDescent="0.25">
      <c r="A4" t="str">
        <f>$A$1&amp;'MR Gigaloterias'!A4&amp;",'"&amp;'MR Gigaloterias'!B4&amp;"',"&amp;'MR Gigaloterias'!C4&amp;","&amp;'MR Gigaloterias'!D4&amp;","&amp;'MR Gigaloterias'!E4&amp;","&amp;'MR Gigaloterias'!F4&amp;","&amp;'MR Gigaloterias'!G4&amp;","&amp;IF(('MR Gigaloterias'!H4)="","NULL",('MR Gigaloterias'!H4))&amp;","&amp;IF(('MR Gigaloterias'!I4)="","NULL","'"&amp;('MR Gigaloterias'!I4)&amp;"'")&amp;","&amp;IF(('MR Gigaloterias'!J4)="","NULL",('MR Gigaloterias'!J4))&amp;");"</f>
        <v>INSERT INTO OLAP_SYS.S_CALCULO_STATS (DRAWING_TYPE,DRAWING_ID,B_TYPE,DIGIT,COLOR_UBICACION,UBICACION,LEY_TERCIO,CICLO_APARICION,PRONOS_CICLO,PREFERENCIA_FLAG,RANGO_LEY_TERCIO) VALUES('mrtr',1425,'B1',1,2,14,1,6,NULL,NULL,3);</v>
      </c>
    </row>
    <row r="5" spans="1:1" x14ac:dyDescent="0.25">
      <c r="A5" t="str">
        <f>$A$1&amp;'MR Gigaloterias'!A5&amp;",'"&amp;'MR Gigaloterias'!B5&amp;"',"&amp;'MR Gigaloterias'!C5&amp;","&amp;'MR Gigaloterias'!D5&amp;","&amp;'MR Gigaloterias'!E5&amp;","&amp;'MR Gigaloterias'!F5&amp;","&amp;'MR Gigaloterias'!G5&amp;","&amp;IF(('MR Gigaloterias'!H5)="","NULL",('MR Gigaloterias'!H5))&amp;","&amp;IF(('MR Gigaloterias'!I5)="","NULL","'"&amp;('MR Gigaloterias'!I5)&amp;"'")&amp;","&amp;IF(('MR Gigaloterias'!J5)="","NULL",('MR Gigaloterias'!J5))&amp;");"</f>
        <v>INSERT INTO OLAP_SYS.S_CALCULO_STATS (DRAWING_TYPE,DRAWING_ID,B_TYPE,DIGIT,COLOR_UBICACION,UBICACION,LEY_TERCIO,CICLO_APARICION,PRONOS_CICLO,PREFERENCIA_FLAG,RANGO_LEY_TERCIO) VALUES('mrtr',1425,'B1',6,2,12,0,7,7,'X',4);</v>
      </c>
    </row>
    <row r="6" spans="1:1" x14ac:dyDescent="0.25">
      <c r="A6" t="str">
        <f>$A$1&amp;'MR Gigaloterias'!A6&amp;",'"&amp;'MR Gigaloterias'!B6&amp;"',"&amp;'MR Gigaloterias'!C6&amp;","&amp;'MR Gigaloterias'!D6&amp;","&amp;'MR Gigaloterias'!E6&amp;","&amp;'MR Gigaloterias'!F6&amp;","&amp;'MR Gigaloterias'!G6&amp;","&amp;IF(('MR Gigaloterias'!H6)="","NULL",('MR Gigaloterias'!H6))&amp;","&amp;IF(('MR Gigaloterias'!I6)="","NULL","'"&amp;('MR Gigaloterias'!I6)&amp;"'")&amp;","&amp;IF(('MR Gigaloterias'!J6)="","NULL",('MR Gigaloterias'!J6))&amp;");"</f>
        <v>INSERT INTO OLAP_SYS.S_CALCULO_STATS (DRAWING_TYPE,DRAWING_ID,B_TYPE,DIGIT,COLOR_UBICACION,UBICACION,LEY_TERCIO,CICLO_APARICION,PRONOS_CICLO,PREFERENCIA_FLAG,RANGO_LEY_TERCIO) VALUES('mrtr',1425,'B1',3,3,10,1,8,NULL,NULL,5);</v>
      </c>
    </row>
    <row r="7" spans="1:1" x14ac:dyDescent="0.25">
      <c r="A7" t="str">
        <f>$A$1&amp;'MR Gigaloterias'!A7&amp;",'"&amp;'MR Gigaloterias'!B7&amp;"',"&amp;'MR Gigaloterias'!C7&amp;","&amp;'MR Gigaloterias'!D7&amp;","&amp;'MR Gigaloterias'!E7&amp;","&amp;'MR Gigaloterias'!F7&amp;","&amp;'MR Gigaloterias'!G7&amp;","&amp;IF(('MR Gigaloterias'!H7)="","NULL",('MR Gigaloterias'!H7))&amp;","&amp;IF(('MR Gigaloterias'!I7)="","NULL","'"&amp;('MR Gigaloterias'!I7)&amp;"'")&amp;","&amp;IF(('MR Gigaloterias'!J7)="","NULL",('MR Gigaloterias'!J7))&amp;");"</f>
        <v>INSERT INTO OLAP_SYS.S_CALCULO_STATS (DRAWING_TYPE,DRAWING_ID,B_TYPE,DIGIT,COLOR_UBICACION,UBICACION,LEY_TERCIO,CICLO_APARICION,PRONOS_CICLO,PREFERENCIA_FLAG,RANGO_LEY_TERCIO) VALUES('mrtr',1425,'B1',5,3,8,2,9,NULL,NULL,6);</v>
      </c>
    </row>
    <row r="8" spans="1:1" x14ac:dyDescent="0.25">
      <c r="A8" t="str">
        <f>$A$1&amp;'MR Gigaloterias'!A8&amp;",'"&amp;'MR Gigaloterias'!B8&amp;"',"&amp;'MR Gigaloterias'!C8&amp;","&amp;'MR Gigaloterias'!D8&amp;","&amp;'MR Gigaloterias'!E8&amp;","&amp;'MR Gigaloterias'!F8&amp;","&amp;'MR Gigaloterias'!G8&amp;","&amp;IF(('MR Gigaloterias'!H8)="","NULL",('MR Gigaloterias'!H8))&amp;","&amp;IF(('MR Gigaloterias'!I8)="","NULL","'"&amp;('MR Gigaloterias'!I8)&amp;"'")&amp;","&amp;IF(('MR Gigaloterias'!J8)="","NULL",('MR Gigaloterias'!J8))&amp;");"</f>
        <v>INSERT INTO OLAP_SYS.S_CALCULO_STATS (DRAWING_TYPE,DRAWING_ID,B_TYPE,DIGIT,COLOR_UBICACION,UBICACION,LEY_TERCIO,CICLO_APARICION,PRONOS_CICLO,PREFERENCIA_FLAG,RANGO_LEY_TERCIO) VALUES('mrtr',1425,'B1',8,3,7,0,13,13,'X',7);</v>
      </c>
    </row>
    <row r="9" spans="1:1" x14ac:dyDescent="0.25">
      <c r="A9" t="str">
        <f>$A$1&amp;'MR Gigaloterias'!A9&amp;",'"&amp;'MR Gigaloterias'!B9&amp;"',"&amp;'MR Gigaloterias'!C9&amp;","&amp;'MR Gigaloterias'!D9&amp;","&amp;'MR Gigaloterias'!E9&amp;","&amp;'MR Gigaloterias'!F9&amp;","&amp;'MR Gigaloterias'!G9&amp;","&amp;IF(('MR Gigaloterias'!H9)="","NULL",('MR Gigaloterias'!H9))&amp;","&amp;IF(('MR Gigaloterias'!I9)="","NULL","'"&amp;('MR Gigaloterias'!I9)&amp;"'")&amp;","&amp;IF(('MR Gigaloterias'!J9)="","NULL",('MR Gigaloterias'!J9))&amp;");"</f>
        <v>INSERT INTO OLAP_SYS.S_CALCULO_STATS (DRAWING_TYPE,DRAWING_ID,B_TYPE,DIGIT,COLOR_UBICACION,UBICACION,LEY_TERCIO,CICLO_APARICION,PRONOS_CICLO,PREFERENCIA_FLAG,RANGO_LEY_TERCIO) VALUES('mrtr',1425,'B1',,3,,0,,NULL,NULL,8);</v>
      </c>
    </row>
    <row r="10" spans="1:1" x14ac:dyDescent="0.25">
      <c r="A10" t="str">
        <f>$A$1&amp;'MR Gigaloterias'!A10&amp;",'"&amp;'MR Gigaloterias'!B10&amp;"',"&amp;'MR Gigaloterias'!C10&amp;","&amp;'MR Gigaloterias'!D10&amp;","&amp;'MR Gigaloterias'!E10&amp;","&amp;'MR Gigaloterias'!F10&amp;","&amp;'MR Gigaloterias'!G10&amp;","&amp;IF(('MR Gigaloterias'!H10)="","NULL",('MR Gigaloterias'!H10))&amp;","&amp;IF(('MR Gigaloterias'!I10)="","NULL","'"&amp;('MR Gigaloterias'!I10)&amp;"'")&amp;","&amp;IF(('MR Gigaloterias'!J10)="","NULL",('MR Gigaloterias'!J10))&amp;");"</f>
        <v>INSERT INTO OLAP_SYS.S_CALCULO_STATS (DRAWING_TYPE,DRAWING_ID,B_TYPE,DIGIT,COLOR_UBICACION,UBICACION,LEY_TERCIO,CICLO_APARICION,PRONOS_CICLO,PREFERENCIA_FLAG,RANGO_LEY_TERCIO) VALUES('mrtr',1425,'B1',,,,0,,NULL,NULL,9);</v>
      </c>
    </row>
    <row r="11" spans="1:1" x14ac:dyDescent="0.25">
      <c r="A11" t="str">
        <f>$A$1&amp;'MR Gigaloterias'!A11&amp;",'"&amp;'MR Gigaloterias'!B11&amp;"',"&amp;'MR Gigaloterias'!C11&amp;","&amp;'MR Gigaloterias'!D11&amp;","&amp;'MR Gigaloterias'!E11&amp;","&amp;'MR Gigaloterias'!F11&amp;","&amp;'MR Gigaloterias'!G11&amp;","&amp;IF(('MR Gigaloterias'!H11)="","NULL",('MR Gigaloterias'!H11))&amp;","&amp;IF(('MR Gigaloterias'!I11)="","NULL","'"&amp;('MR Gigaloterias'!I11)&amp;"'")&amp;","&amp;IF(('MR Gigaloterias'!J11)="","NULL",('MR Gigaloterias'!J11))&amp;");"</f>
        <v>INSERT INTO OLAP_SYS.S_CALCULO_STATS (DRAWING_TYPE,DRAWING_ID,B_TYPE,DIGIT,COLOR_UBICACION,UBICACION,LEY_TERCIO,CICLO_APARICION,PRONOS_CICLO,PREFERENCIA_FLAG,RANGO_LEY_TERCIO) VALUES('mrtr',1425,'B1',,,,0,,NULL,NULL,10);</v>
      </c>
    </row>
    <row r="12" spans="1:1" x14ac:dyDescent="0.25">
      <c r="A12" t="str">
        <f>$A$1&amp;'MR Gigaloterias'!A12&amp;",'"&amp;'MR Gigaloterias'!B12&amp;"',"&amp;'MR Gigaloterias'!C12&amp;","&amp;'MR Gigaloterias'!D12&amp;","&amp;'MR Gigaloterias'!E12&amp;","&amp;'MR Gigaloterias'!F12&amp;","&amp;'MR Gigaloterias'!G12&amp;","&amp;IF(('MR Gigaloterias'!H12)="","NULL",('MR Gigaloterias'!H12))&amp;","&amp;IF(('MR Gigaloterias'!I12)="","NULL","'"&amp;('MR Gigaloterias'!I12)&amp;"'")&amp;","&amp;IF(('MR Gigaloterias'!J12)="","NULL",('MR Gigaloterias'!J12))&amp;");"</f>
        <v>INSERT INTO OLAP_SYS.S_CALCULO_STATS (DRAWING_TYPE,DRAWING_ID,B_TYPE,DIGIT,COLOR_UBICACION,UBICACION,LEY_TERCIO,CICLO_APARICION,PRONOS_CICLO,PREFERENCIA_FLAG,RANGO_LEY_TERCIO) VALUES('mrtr',1425,'B1',,,,0,,NULL,NULL,11);</v>
      </c>
    </row>
    <row r="13" spans="1:1" x14ac:dyDescent="0.25">
      <c r="A13" t="str">
        <f>$A$1&amp;'MR Gigaloterias'!A13&amp;",'"&amp;'MR Gigaloterias'!B13&amp;"',"&amp;'MR Gigaloterias'!C13&amp;","&amp;'MR Gigaloterias'!D13&amp;","&amp;'MR Gigaloterias'!E13&amp;","&amp;'MR Gigaloterias'!F13&amp;","&amp;'MR Gigaloterias'!G13&amp;","&amp;IF(('MR Gigaloterias'!H13)="","NULL",('MR Gigaloterias'!H13))&amp;","&amp;IF(('MR Gigaloterias'!I13)="","NULL","'"&amp;('MR Gigaloterias'!I13)&amp;"'")&amp;","&amp;IF(('MR Gigaloterias'!J13)="","NULL",('MR Gigaloterias'!J13))&amp;");"</f>
        <v>INSERT INTO OLAP_SYS.S_CALCULO_STATS (DRAWING_TYPE,DRAWING_ID,B_TYPE,DIGIT,COLOR_UBICACION,UBICACION,LEY_TERCIO,CICLO_APARICION,PRONOS_CICLO,PREFERENCIA_FLAG,RANGO_LEY_TERCIO) VALUES('mrtr',1425,'B1',,,,0,,NULL,NULL,12);</v>
      </c>
    </row>
    <row r="14" spans="1:1" x14ac:dyDescent="0.25">
      <c r="A14" t="str">
        <f>$A$1&amp;'MR Gigaloterias'!A14&amp;",'"&amp;'MR Gigaloterias'!B14&amp;"',"&amp;'MR Gigaloterias'!C14&amp;","&amp;'MR Gigaloterias'!D14&amp;","&amp;'MR Gigaloterias'!E14&amp;","&amp;'MR Gigaloterias'!F14&amp;","&amp;'MR Gigaloterias'!G14&amp;","&amp;IF(('MR Gigaloterias'!H14)="","NULL",('MR Gigaloterias'!H14))&amp;","&amp;IF(('MR Gigaloterias'!I14)="","NULL","'"&amp;('MR Gigaloterias'!I14)&amp;"'")&amp;","&amp;IF(('MR Gigaloterias'!J14)="","NULL",('MR Gigaloterias'!J14))&amp;");"</f>
        <v>INSERT INTO OLAP_SYS.S_CALCULO_STATS (DRAWING_TYPE,DRAWING_ID,B_TYPE,DIGIT,COLOR_UBICACION,UBICACION,LEY_TERCIO,CICLO_APARICION,PRONOS_CICLO,PREFERENCIA_FLAG,RANGO_LEY_TERCIO) VALUES('mrtr',1425,'B1',,,,0,,NULL,NULL,13);</v>
      </c>
    </row>
    <row r="15" spans="1:1" x14ac:dyDescent="0.25">
      <c r="A15" t="str">
        <f>$A$1&amp;'MR Gigaloterias'!A15&amp;",'"&amp;'MR Gigaloterias'!B15&amp;"',"&amp;'MR Gigaloterias'!C15&amp;","&amp;'MR Gigaloterias'!D15&amp;","&amp;'MR Gigaloterias'!E15&amp;","&amp;'MR Gigaloterias'!F15&amp;","&amp;'MR Gigaloterias'!G15&amp;","&amp;IF(('MR Gigaloterias'!H15)="","NULL",('MR Gigaloterias'!H15))&amp;","&amp;IF(('MR Gigaloterias'!I15)="","NULL","'"&amp;('MR Gigaloterias'!I15)&amp;"'")&amp;","&amp;IF(('MR Gigaloterias'!J15)="","NULL",('MR Gigaloterias'!J15))&amp;");"</f>
        <v>INSERT INTO OLAP_SYS.S_CALCULO_STATS (DRAWING_TYPE,DRAWING_ID,B_TYPE,DIGIT,COLOR_UBICACION,UBICACION,LEY_TERCIO,CICLO_APARICION,PRONOS_CICLO,PREFERENCIA_FLAG,RANGO_LEY_TERCIO) VALUES('mrtr',1425,'B1',,,,0,,NULL,NULL,14);</v>
      </c>
    </row>
    <row r="16" spans="1:1" x14ac:dyDescent="0.25">
      <c r="A16" t="str">
        <f>$A$1&amp;'MR Gigaloterias'!A16&amp;",'"&amp;'MR Gigaloterias'!B16&amp;"',"&amp;'MR Gigaloterias'!C16&amp;","&amp;'MR Gigaloterias'!D16&amp;","&amp;'MR Gigaloterias'!E16&amp;","&amp;'MR Gigaloterias'!F16&amp;","&amp;'MR Gigaloterias'!G16&amp;","&amp;IF(('MR Gigaloterias'!H16)="","NULL",('MR Gigaloterias'!H16))&amp;","&amp;IF(('MR Gigaloterias'!I16)="","NULL","'"&amp;('MR Gigaloterias'!I16)&amp;"'")&amp;","&amp;IF(('MR Gigaloterias'!J16)="","NULL",('MR Gigaloterias'!J16))&amp;");"</f>
        <v>INSERT INTO OLAP_SYS.S_CALCULO_STATS (DRAWING_TYPE,DRAWING_ID,B_TYPE,DIGIT,COLOR_UBICACION,UBICACION,LEY_TERCIO,CICLO_APARICION,PRONOS_CICLO,PREFERENCIA_FLAG,RANGO_LEY_TERCIO) VALUES('mrtr',1425,'B1',,,,0,,NULL,NULL,15);</v>
      </c>
    </row>
    <row r="17" spans="1:1" x14ac:dyDescent="0.25">
      <c r="A17" t="str">
        <f>$A$1&amp;'MR Gigaloterias'!A17&amp;",'"&amp;'MR Gigaloterias'!B17&amp;"',"&amp;'MR Gigaloterias'!C17&amp;","&amp;'MR Gigaloterias'!D17&amp;","&amp;'MR Gigaloterias'!E17&amp;","&amp;'MR Gigaloterias'!F17&amp;","&amp;'MR Gigaloterias'!G17&amp;","&amp;IF(('MR Gigaloterias'!H17)="","NULL",('MR Gigaloterias'!H17))&amp;","&amp;IF(('MR Gigaloterias'!I17)="","NULL","'"&amp;('MR Gigaloterias'!I17)&amp;"'")&amp;","&amp;IF(('MR Gigaloterias'!J17)="","NULL",('MR Gigaloterias'!J17))&amp;");"</f>
        <v>INSERT INTO OLAP_SYS.S_CALCULO_STATS (DRAWING_TYPE,DRAWING_ID,B_TYPE,DIGIT,COLOR_UBICACION,UBICACION,LEY_TERCIO,CICLO_APARICION,PRONOS_CICLO,PREFERENCIA_FLAG,RANGO_LEY_TERCIO) VALUES('mrtr',1425,'B2',8,1,9,1,10,10,NULL,1);</v>
      </c>
    </row>
    <row r="18" spans="1:1" x14ac:dyDescent="0.25">
      <c r="A18" t="str">
        <f>$A$1&amp;'MR Gigaloterias'!A18&amp;",'"&amp;'MR Gigaloterias'!B18&amp;"',"&amp;'MR Gigaloterias'!C18&amp;","&amp;'MR Gigaloterias'!D18&amp;","&amp;'MR Gigaloterias'!E18&amp;","&amp;'MR Gigaloterias'!F18&amp;","&amp;'MR Gigaloterias'!G18&amp;","&amp;IF(('MR Gigaloterias'!H18)="","NULL",('MR Gigaloterias'!H18))&amp;","&amp;IF(('MR Gigaloterias'!I18)="","NULL","'"&amp;('MR Gigaloterias'!I18)&amp;"'")&amp;","&amp;IF(('MR Gigaloterias'!J18)="","NULL",('MR Gigaloterias'!J18))&amp;");"</f>
        <v>INSERT INTO OLAP_SYS.S_CALCULO_STATS (DRAWING_TYPE,DRAWING_ID,B_TYPE,DIGIT,COLOR_UBICACION,UBICACION,LEY_TERCIO,CICLO_APARICION,PRONOS_CICLO,PREFERENCIA_FLAG,RANGO_LEY_TERCIO) VALUES('mrtr',1425,'B2',7,1,9,0,9,9,'X',2);</v>
      </c>
    </row>
    <row r="19" spans="1:1" x14ac:dyDescent="0.25">
      <c r="A19" t="str">
        <f>$A$1&amp;'MR Gigaloterias'!A19&amp;",'"&amp;'MR Gigaloterias'!B19&amp;"',"&amp;'MR Gigaloterias'!C19&amp;","&amp;'MR Gigaloterias'!D19&amp;","&amp;'MR Gigaloterias'!E19&amp;","&amp;'MR Gigaloterias'!F19&amp;","&amp;'MR Gigaloterias'!G19&amp;","&amp;IF(('MR Gigaloterias'!H19)="","NULL",('MR Gigaloterias'!H19))&amp;","&amp;IF(('MR Gigaloterias'!I19)="","NULL","'"&amp;('MR Gigaloterias'!I19)&amp;"'")&amp;","&amp;IF(('MR Gigaloterias'!J19)="","NULL",('MR Gigaloterias'!J19))&amp;");"</f>
        <v>INSERT INTO OLAP_SYS.S_CALCULO_STATS (DRAWING_TYPE,DRAWING_ID,B_TYPE,DIGIT,COLOR_UBICACION,UBICACION,LEY_TERCIO,CICLO_APARICION,PRONOS_CICLO,PREFERENCIA_FLAG,RANGO_LEY_TERCIO) VALUES('mrtr',1425,'B2',4,1,9,0,9,9,NULL,3);</v>
      </c>
    </row>
    <row r="20" spans="1:1" x14ac:dyDescent="0.25">
      <c r="A20" t="str">
        <f>$A$1&amp;'MR Gigaloterias'!A20&amp;",'"&amp;'MR Gigaloterias'!B20&amp;"',"&amp;'MR Gigaloterias'!C20&amp;","&amp;'MR Gigaloterias'!D20&amp;","&amp;'MR Gigaloterias'!E20&amp;","&amp;'MR Gigaloterias'!F20&amp;","&amp;'MR Gigaloterias'!G20&amp;","&amp;IF(('MR Gigaloterias'!H20)="","NULL",('MR Gigaloterias'!H20))&amp;","&amp;IF(('MR Gigaloterias'!I20)="","NULL","'"&amp;('MR Gigaloterias'!I20)&amp;"'")&amp;","&amp;IF(('MR Gigaloterias'!J20)="","NULL",('MR Gigaloterias'!J20))&amp;");"</f>
        <v>INSERT INTO OLAP_SYS.S_CALCULO_STATS (DRAWING_TYPE,DRAWING_ID,B_TYPE,DIGIT,COLOR_UBICACION,UBICACION,LEY_TERCIO,CICLO_APARICION,PRONOS_CICLO,PREFERENCIA_FLAG,RANGO_LEY_TERCIO) VALUES('mrtr',1425,'B2',9,1,8,2,8,NULL,'X',4);</v>
      </c>
    </row>
    <row r="21" spans="1:1" x14ac:dyDescent="0.25">
      <c r="A21" t="str">
        <f>$A$1&amp;'MR Gigaloterias'!A21&amp;",'"&amp;'MR Gigaloterias'!B21&amp;"',"&amp;'MR Gigaloterias'!C21&amp;","&amp;'MR Gigaloterias'!D21&amp;","&amp;'MR Gigaloterias'!E21&amp;","&amp;'MR Gigaloterias'!F21&amp;","&amp;'MR Gigaloterias'!G21&amp;","&amp;IF(('MR Gigaloterias'!H21)="","NULL",('MR Gigaloterias'!H21))&amp;","&amp;IF(('MR Gigaloterias'!I21)="","NULL","'"&amp;('MR Gigaloterias'!I21)&amp;"'")&amp;","&amp;IF(('MR Gigaloterias'!J21)="","NULL",('MR Gigaloterias'!J21))&amp;");"</f>
        <v>INSERT INTO OLAP_SYS.S_CALCULO_STATS (DRAWING_TYPE,DRAWING_ID,B_TYPE,DIGIT,COLOR_UBICACION,UBICACION,LEY_TERCIO,CICLO_APARICION,PRONOS_CICLO,PREFERENCIA_FLAG,RANGO_LEY_TERCIO) VALUES('mrtr',1425,'B2',10,2,7,1,13,NULL,NULL,5);</v>
      </c>
    </row>
    <row r="22" spans="1:1" x14ac:dyDescent="0.25">
      <c r="A22" t="str">
        <f>$A$1&amp;'MR Gigaloterias'!A22&amp;",'"&amp;'MR Gigaloterias'!B22&amp;"',"&amp;'MR Gigaloterias'!C22&amp;","&amp;'MR Gigaloterias'!D22&amp;","&amp;'MR Gigaloterias'!E22&amp;","&amp;'MR Gigaloterias'!F22&amp;","&amp;'MR Gigaloterias'!G22&amp;","&amp;IF(('MR Gigaloterias'!H22)="","NULL",('MR Gigaloterias'!H22))&amp;","&amp;IF(('MR Gigaloterias'!I22)="","NULL","'"&amp;('MR Gigaloterias'!I22)&amp;"'")&amp;","&amp;IF(('MR Gigaloterias'!J22)="","NULL",('MR Gigaloterias'!J22))&amp;");"</f>
        <v>INSERT INTO OLAP_SYS.S_CALCULO_STATS (DRAWING_TYPE,DRAWING_ID,B_TYPE,DIGIT,COLOR_UBICACION,UBICACION,LEY_TERCIO,CICLO_APARICION,PRONOS_CICLO,PREFERENCIA_FLAG,RANGO_LEY_TERCIO) VALUES('mrtr',1425,'B2',17,2,6,1,14,NULL,'X',6);</v>
      </c>
    </row>
    <row r="23" spans="1:1" x14ac:dyDescent="0.25">
      <c r="A23" t="str">
        <f>$A$1&amp;'MR Gigaloterias'!A23&amp;",'"&amp;'MR Gigaloterias'!B23&amp;"',"&amp;'MR Gigaloterias'!C23&amp;","&amp;'MR Gigaloterias'!D23&amp;","&amp;'MR Gigaloterias'!E23&amp;","&amp;'MR Gigaloterias'!F23&amp;","&amp;'MR Gigaloterias'!G23&amp;","&amp;IF(('MR Gigaloterias'!H23)="","NULL",('MR Gigaloterias'!H23))&amp;","&amp;IF(('MR Gigaloterias'!I23)="","NULL","'"&amp;('MR Gigaloterias'!I23)&amp;"'")&amp;","&amp;IF(('MR Gigaloterias'!J23)="","NULL",('MR Gigaloterias'!J23))&amp;");"</f>
        <v>INSERT INTO OLAP_SYS.S_CALCULO_STATS (DRAWING_TYPE,DRAWING_ID,B_TYPE,DIGIT,COLOR_UBICACION,UBICACION,LEY_TERCIO,CICLO_APARICION,PRONOS_CICLO,PREFERENCIA_FLAG,RANGO_LEY_TERCIO) VALUES('mrtr',1425,'B2',11,2,6,2,15,NULL,'X',7);</v>
      </c>
    </row>
    <row r="24" spans="1:1" x14ac:dyDescent="0.25">
      <c r="A24" t="str">
        <f>$A$1&amp;'MR Gigaloterias'!A24&amp;",'"&amp;'MR Gigaloterias'!B24&amp;"',"&amp;'MR Gigaloterias'!C24&amp;","&amp;'MR Gigaloterias'!D24&amp;","&amp;'MR Gigaloterias'!E24&amp;","&amp;'MR Gigaloterias'!F24&amp;","&amp;'MR Gigaloterias'!G24&amp;","&amp;IF(('MR Gigaloterias'!H24)="","NULL",('MR Gigaloterias'!H24))&amp;","&amp;IF(('MR Gigaloterias'!I24)="","NULL","'"&amp;('MR Gigaloterias'!I24)&amp;"'")&amp;","&amp;IF(('MR Gigaloterias'!J24)="","NULL",('MR Gigaloterias'!J24))&amp;");"</f>
        <v>INSERT INTO OLAP_SYS.S_CALCULO_STATS (DRAWING_TYPE,DRAWING_ID,B_TYPE,DIGIT,COLOR_UBICACION,UBICACION,LEY_TERCIO,CICLO_APARICION,PRONOS_CICLO,PREFERENCIA_FLAG,RANGO_LEY_TERCIO) VALUES('mrtr',1425,'B2',6,2,6,3,9,NULL,NULL,8);</v>
      </c>
    </row>
    <row r="25" spans="1:1" x14ac:dyDescent="0.25">
      <c r="A25" t="str">
        <f>$A$1&amp;'MR Gigaloterias'!A25&amp;",'"&amp;'MR Gigaloterias'!B25&amp;"',"&amp;'MR Gigaloterias'!C25&amp;","&amp;'MR Gigaloterias'!D25&amp;","&amp;'MR Gigaloterias'!E25&amp;","&amp;'MR Gigaloterias'!F25&amp;","&amp;'MR Gigaloterias'!G25&amp;","&amp;IF(('MR Gigaloterias'!H25)="","NULL",('MR Gigaloterias'!H25))&amp;","&amp;IF(('MR Gigaloterias'!I25)="","NULL","'"&amp;('MR Gigaloterias'!I25)&amp;"'")&amp;","&amp;IF(('MR Gigaloterias'!J25)="","NULL",('MR Gigaloterias'!J25))&amp;");"</f>
        <v>INSERT INTO OLAP_SYS.S_CALCULO_STATS (DRAWING_TYPE,DRAWING_ID,B_TYPE,DIGIT,COLOR_UBICACION,UBICACION,LEY_TERCIO,CICLO_APARICION,PRONOS_CICLO,PREFERENCIA_FLAG,RANGO_LEY_TERCIO) VALUES('mrtr',1425,'B2',5,3,6,0,14,NULL,'X',9);</v>
      </c>
    </row>
    <row r="26" spans="1:1" x14ac:dyDescent="0.25">
      <c r="A26" t="str">
        <f>$A$1&amp;'MR Gigaloterias'!A26&amp;",'"&amp;'MR Gigaloterias'!B26&amp;"',"&amp;'MR Gigaloterias'!C26&amp;","&amp;'MR Gigaloterias'!D26&amp;","&amp;'MR Gigaloterias'!E26&amp;","&amp;'MR Gigaloterias'!F26&amp;","&amp;'MR Gigaloterias'!G26&amp;","&amp;IF(('MR Gigaloterias'!H26)="","NULL",('MR Gigaloterias'!H26))&amp;","&amp;IF(('MR Gigaloterias'!I26)="","NULL","'"&amp;('MR Gigaloterias'!I26)&amp;"'")&amp;","&amp;IF(('MR Gigaloterias'!J26)="","NULL",('MR Gigaloterias'!J26))&amp;");"</f>
        <v>INSERT INTO OLAP_SYS.S_CALCULO_STATS (DRAWING_TYPE,DRAWING_ID,B_TYPE,DIGIT,COLOR_UBICACION,UBICACION,LEY_TERCIO,CICLO_APARICION,PRONOS_CICLO,PREFERENCIA_FLAG,RANGO_LEY_TERCIO) VALUES('mrtr',1425,'B2',15,3,5,2,14,NULL,'X',10);</v>
      </c>
    </row>
    <row r="27" spans="1:1" x14ac:dyDescent="0.25">
      <c r="A27" t="str">
        <f>$A$1&amp;'MR Gigaloterias'!A27&amp;",'"&amp;'MR Gigaloterias'!B27&amp;"',"&amp;'MR Gigaloterias'!C27&amp;","&amp;'MR Gigaloterias'!D27&amp;","&amp;'MR Gigaloterias'!E27&amp;","&amp;'MR Gigaloterias'!F27&amp;","&amp;'MR Gigaloterias'!G27&amp;","&amp;IF(('MR Gigaloterias'!H27)="","NULL",('MR Gigaloterias'!H27))&amp;","&amp;IF(('MR Gigaloterias'!I27)="","NULL","'"&amp;('MR Gigaloterias'!I27)&amp;"'")&amp;","&amp;IF(('MR Gigaloterias'!J27)="","NULL",('MR Gigaloterias'!J27))&amp;");"</f>
        <v>INSERT INTO OLAP_SYS.S_CALCULO_STATS (DRAWING_TYPE,DRAWING_ID,B_TYPE,DIGIT,COLOR_UBICACION,UBICACION,LEY_TERCIO,CICLO_APARICION,PRONOS_CICLO,PREFERENCIA_FLAG,RANGO_LEY_TERCIO) VALUES('mrtr',1425,'B2',16,3,4,0,20,20,NULL,11);</v>
      </c>
    </row>
    <row r="28" spans="1:1" x14ac:dyDescent="0.25">
      <c r="A28" t="str">
        <f>$A$1&amp;'MR Gigaloterias'!A28&amp;",'"&amp;'MR Gigaloterias'!B28&amp;"',"&amp;'MR Gigaloterias'!C28&amp;","&amp;'MR Gigaloterias'!D28&amp;","&amp;'MR Gigaloterias'!E28&amp;","&amp;'MR Gigaloterias'!F28&amp;","&amp;'MR Gigaloterias'!G28&amp;","&amp;IF(('MR Gigaloterias'!H28)="","NULL",('MR Gigaloterias'!H28))&amp;","&amp;IF(('MR Gigaloterias'!I28)="","NULL","'"&amp;('MR Gigaloterias'!I28)&amp;"'")&amp;","&amp;IF(('MR Gigaloterias'!J28)="","NULL",('MR Gigaloterias'!J28))&amp;");"</f>
        <v>INSERT INTO OLAP_SYS.S_CALCULO_STATS (DRAWING_TYPE,DRAWING_ID,B_TYPE,DIGIT,COLOR_UBICACION,UBICACION,LEY_TERCIO,CICLO_APARICION,PRONOS_CICLO,PREFERENCIA_FLAG,RANGO_LEY_TERCIO) VALUES('mrtr',1425,'B2',14,3,4,0,22,22,NULL,12);</v>
      </c>
    </row>
    <row r="29" spans="1:1" x14ac:dyDescent="0.25">
      <c r="A29" t="str">
        <f>$A$1&amp;'MR Gigaloterias'!A29&amp;",'"&amp;'MR Gigaloterias'!B29&amp;"',"&amp;'MR Gigaloterias'!C29&amp;","&amp;'MR Gigaloterias'!D29&amp;","&amp;'MR Gigaloterias'!E29&amp;","&amp;'MR Gigaloterias'!F29&amp;","&amp;'MR Gigaloterias'!G29&amp;","&amp;IF(('MR Gigaloterias'!H29)="","NULL",('MR Gigaloterias'!H29))&amp;","&amp;IF(('MR Gigaloterias'!I29)="","NULL","'"&amp;('MR Gigaloterias'!I29)&amp;"'")&amp;","&amp;IF(('MR Gigaloterias'!J29)="","NULL",('MR Gigaloterias'!J29))&amp;");"</f>
        <v>INSERT INTO OLAP_SYS.S_CALCULO_STATS (DRAWING_TYPE,DRAWING_ID,B_TYPE,DIGIT,COLOR_UBICACION,UBICACION,LEY_TERCIO,CICLO_APARICION,PRONOS_CICLO,PREFERENCIA_FLAG,RANGO_LEY_TERCIO) VALUES('mrtr',1425,'B2',13,3,4,0,18,18,'X',13);</v>
      </c>
    </row>
    <row r="30" spans="1:1" x14ac:dyDescent="0.25">
      <c r="A30" t="str">
        <f>$A$1&amp;'MR Gigaloterias'!A30&amp;",'"&amp;'MR Gigaloterias'!B30&amp;"',"&amp;'MR Gigaloterias'!C30&amp;","&amp;'MR Gigaloterias'!D30&amp;","&amp;'MR Gigaloterias'!E30&amp;","&amp;'MR Gigaloterias'!F30&amp;","&amp;'MR Gigaloterias'!G30&amp;","&amp;IF(('MR Gigaloterias'!H30)="","NULL",('MR Gigaloterias'!H30))&amp;","&amp;IF(('MR Gigaloterias'!I30)="","NULL","'"&amp;('MR Gigaloterias'!I30)&amp;"'")&amp;","&amp;IF(('MR Gigaloterias'!J30)="","NULL",('MR Gigaloterias'!J30))&amp;");"</f>
        <v>INSERT INTO OLAP_SYS.S_CALCULO_STATS (DRAWING_TYPE,DRAWING_ID,B_TYPE,DIGIT,COLOR_UBICACION,UBICACION,LEY_TERCIO,CICLO_APARICION,PRONOS_CICLO,PREFERENCIA_FLAG,RANGO_LEY_TERCIO) VALUES('mrtr',1425,'B2',,3,,0,,NULL,NULL,14);</v>
      </c>
    </row>
    <row r="31" spans="1:1" x14ac:dyDescent="0.25">
      <c r="A31" t="str">
        <f>$A$1&amp;'MR Gigaloterias'!A31&amp;",'"&amp;'MR Gigaloterias'!B31&amp;"',"&amp;'MR Gigaloterias'!C31&amp;","&amp;'MR Gigaloterias'!D31&amp;","&amp;'MR Gigaloterias'!E31&amp;","&amp;'MR Gigaloterias'!F31&amp;","&amp;'MR Gigaloterias'!G31&amp;","&amp;IF(('MR Gigaloterias'!H31)="","NULL",('MR Gigaloterias'!H31))&amp;","&amp;IF(('MR Gigaloterias'!I31)="","NULL","'"&amp;('MR Gigaloterias'!I31)&amp;"'")&amp;","&amp;IF(('MR Gigaloterias'!J31)="","NULL",('MR Gigaloterias'!J31))&amp;");"</f>
        <v>INSERT INTO OLAP_SYS.S_CALCULO_STATS (DRAWING_TYPE,DRAWING_ID,B_TYPE,DIGIT,COLOR_UBICACION,UBICACION,LEY_TERCIO,CICLO_APARICION,PRONOS_CICLO,PREFERENCIA_FLAG,RANGO_LEY_TERCIO) VALUES('mrtr',1425,'B2',,3,,0,,NULL,NULL,15);</v>
      </c>
    </row>
    <row r="32" spans="1:1" x14ac:dyDescent="0.25">
      <c r="A32" t="str">
        <f>$A$1&amp;'MR Gigaloterias'!A32&amp;",'"&amp;'MR Gigaloterias'!B32&amp;"',"&amp;'MR Gigaloterias'!C32&amp;","&amp;'MR Gigaloterias'!D32&amp;","&amp;'MR Gigaloterias'!E32&amp;","&amp;'MR Gigaloterias'!F32&amp;","&amp;'MR Gigaloterias'!G32&amp;","&amp;IF(('MR Gigaloterias'!H32)="","NULL",('MR Gigaloterias'!H32))&amp;","&amp;IF(('MR Gigaloterias'!I32)="","NULL","'"&amp;('MR Gigaloterias'!I32)&amp;"'")&amp;","&amp;IF(('MR Gigaloterias'!J32)="","NULL",('MR Gigaloterias'!J32))&amp;");"</f>
        <v>INSERT INTO OLAP_SYS.S_CALCULO_STATS (DRAWING_TYPE,DRAWING_ID,B_TYPE,DIGIT,COLOR_UBICACION,UBICACION,LEY_TERCIO,CICLO_APARICION,PRONOS_CICLO,PREFERENCIA_FLAG,RANGO_LEY_TERCIO) VALUES('mrtr',1425,'B2',,3,,0,,NULL,NULL,16);</v>
      </c>
    </row>
    <row r="33" spans="1:1" x14ac:dyDescent="0.25">
      <c r="A33" t="str">
        <f>$A$1&amp;'MR Gigaloterias'!A33&amp;",'"&amp;'MR Gigaloterias'!B33&amp;"',"&amp;'MR Gigaloterias'!C33&amp;","&amp;'MR Gigaloterias'!D33&amp;","&amp;'MR Gigaloterias'!E33&amp;","&amp;'MR Gigaloterias'!F33&amp;","&amp;'MR Gigaloterias'!G33&amp;","&amp;IF(('MR Gigaloterias'!H33)="","NULL",('MR Gigaloterias'!H33))&amp;","&amp;IF(('MR Gigaloterias'!I33)="","NULL","'"&amp;('MR Gigaloterias'!I33)&amp;"'")&amp;","&amp;IF(('MR Gigaloterias'!J33)="","NULL",('MR Gigaloterias'!J33))&amp;");"</f>
        <v>INSERT INTO OLAP_SYS.S_CALCULO_STATS (DRAWING_TYPE,DRAWING_ID,B_TYPE,DIGIT,COLOR_UBICACION,UBICACION,LEY_TERCIO,CICLO_APARICION,PRONOS_CICLO,PREFERENCIA_FLAG,RANGO_LEY_TERCIO) VALUES('mrtr',1425,'B3',13,1,8,1,11,NULL,NULL,1);</v>
      </c>
    </row>
    <row r="34" spans="1:1" x14ac:dyDescent="0.25">
      <c r="A34" t="str">
        <f>$A$1&amp;'MR Gigaloterias'!A34&amp;",'"&amp;'MR Gigaloterias'!B34&amp;"',"&amp;'MR Gigaloterias'!C34&amp;","&amp;'MR Gigaloterias'!D34&amp;","&amp;'MR Gigaloterias'!E34&amp;","&amp;'MR Gigaloterias'!F34&amp;","&amp;'MR Gigaloterias'!G34&amp;","&amp;IF(('MR Gigaloterias'!H34)="","NULL",('MR Gigaloterias'!H34))&amp;","&amp;IF(('MR Gigaloterias'!I34)="","NULL","'"&amp;('MR Gigaloterias'!I34)&amp;"'")&amp;","&amp;IF(('MR Gigaloterias'!J34)="","NULL",('MR Gigaloterias'!J34))&amp;");"</f>
        <v>INSERT INTO OLAP_SYS.S_CALCULO_STATS (DRAWING_TYPE,DRAWING_ID,B_TYPE,DIGIT,COLOR_UBICACION,UBICACION,LEY_TERCIO,CICLO_APARICION,PRONOS_CICLO,PREFERENCIA_FLAG,RANGO_LEY_TERCIO) VALUES('mrtr',1425,'B3',26,1,7,2,6,NULL,'X',2);</v>
      </c>
    </row>
    <row r="35" spans="1:1" x14ac:dyDescent="0.25">
      <c r="A35" t="str">
        <f>$A$1&amp;'MR Gigaloterias'!A35&amp;",'"&amp;'MR Gigaloterias'!B35&amp;"',"&amp;'MR Gigaloterias'!C35&amp;","&amp;'MR Gigaloterias'!D35&amp;","&amp;'MR Gigaloterias'!E35&amp;","&amp;'MR Gigaloterias'!F35&amp;","&amp;'MR Gigaloterias'!G35&amp;","&amp;IF(('MR Gigaloterias'!H35)="","NULL",('MR Gigaloterias'!H35))&amp;","&amp;IF(('MR Gigaloterias'!I35)="","NULL","'"&amp;('MR Gigaloterias'!I35)&amp;"'")&amp;","&amp;IF(('MR Gigaloterias'!J35)="","NULL",('MR Gigaloterias'!J35))&amp;");"</f>
        <v>INSERT INTO OLAP_SYS.S_CALCULO_STATS (DRAWING_TYPE,DRAWING_ID,B_TYPE,DIGIT,COLOR_UBICACION,UBICACION,LEY_TERCIO,CICLO_APARICION,PRONOS_CICLO,PREFERENCIA_FLAG,RANGO_LEY_TERCIO) VALUES('mrtr',1425,'B3',14,1,7,2,12,NULL,'X',3);</v>
      </c>
    </row>
    <row r="36" spans="1:1" x14ac:dyDescent="0.25">
      <c r="A36" t="str">
        <f>$A$1&amp;'MR Gigaloterias'!A36&amp;",'"&amp;'MR Gigaloterias'!B36&amp;"',"&amp;'MR Gigaloterias'!C36&amp;","&amp;'MR Gigaloterias'!D36&amp;","&amp;'MR Gigaloterias'!E36&amp;","&amp;'MR Gigaloterias'!F36&amp;","&amp;'MR Gigaloterias'!G36&amp;","&amp;IF(('MR Gigaloterias'!H36)="","NULL",('MR Gigaloterias'!H36))&amp;","&amp;IF(('MR Gigaloterias'!I36)="","NULL","'"&amp;('MR Gigaloterias'!I36)&amp;"'")&amp;","&amp;IF(('MR Gigaloterias'!J36)="","NULL",('MR Gigaloterias'!J36))&amp;");"</f>
        <v>INSERT INTO OLAP_SYS.S_CALCULO_STATS (DRAWING_TYPE,DRAWING_ID,B_TYPE,DIGIT,COLOR_UBICACION,UBICACION,LEY_TERCIO,CICLO_APARICION,PRONOS_CICLO,PREFERENCIA_FLAG,RANGO_LEY_TERCIO) VALUES('mrtr',1425,'B3',12,1,7,0,13,13,'X',4);</v>
      </c>
    </row>
    <row r="37" spans="1:1" x14ac:dyDescent="0.25">
      <c r="A37" t="str">
        <f>$A$1&amp;'MR Gigaloterias'!A37&amp;",'"&amp;'MR Gigaloterias'!B37&amp;"',"&amp;'MR Gigaloterias'!C37&amp;","&amp;'MR Gigaloterias'!D37&amp;","&amp;'MR Gigaloterias'!E37&amp;","&amp;'MR Gigaloterias'!F37&amp;","&amp;'MR Gigaloterias'!G37&amp;","&amp;IF(('MR Gigaloterias'!H37)="","NULL",('MR Gigaloterias'!H37))&amp;","&amp;IF(('MR Gigaloterias'!I37)="","NULL","'"&amp;('MR Gigaloterias'!I37)&amp;"'")&amp;","&amp;IF(('MR Gigaloterias'!J37)="","NULL",('MR Gigaloterias'!J37))&amp;");"</f>
        <v>INSERT INTO OLAP_SYS.S_CALCULO_STATS (DRAWING_TYPE,DRAWING_ID,B_TYPE,DIGIT,COLOR_UBICACION,UBICACION,LEY_TERCIO,CICLO_APARICION,PRONOS_CICLO,PREFERENCIA_FLAG,RANGO_LEY_TERCIO) VALUES('mrtr',1425,'B3',22,2,6,1,11,11,'X',5);</v>
      </c>
    </row>
    <row r="38" spans="1:1" x14ac:dyDescent="0.25">
      <c r="A38" t="str">
        <f>$A$1&amp;'MR Gigaloterias'!A38&amp;",'"&amp;'MR Gigaloterias'!B38&amp;"',"&amp;'MR Gigaloterias'!C38&amp;","&amp;'MR Gigaloterias'!D38&amp;","&amp;'MR Gigaloterias'!E38&amp;","&amp;'MR Gigaloterias'!F38&amp;","&amp;'MR Gigaloterias'!G38&amp;","&amp;IF(('MR Gigaloterias'!H38)="","NULL",('MR Gigaloterias'!H38))&amp;","&amp;IF(('MR Gigaloterias'!I38)="","NULL","'"&amp;('MR Gigaloterias'!I38)&amp;"'")&amp;","&amp;IF(('MR Gigaloterias'!J38)="","NULL",('MR Gigaloterias'!J38))&amp;");"</f>
        <v>INSERT INTO OLAP_SYS.S_CALCULO_STATS (DRAWING_TYPE,DRAWING_ID,B_TYPE,DIGIT,COLOR_UBICACION,UBICACION,LEY_TERCIO,CICLO_APARICION,PRONOS_CICLO,PREFERENCIA_FLAG,RANGO_LEY_TERCIO) VALUES('mrtr',1425,'B3',21,2,6,0,14,14,NULL,6);</v>
      </c>
    </row>
    <row r="39" spans="1:1" x14ac:dyDescent="0.25">
      <c r="A39" t="str">
        <f>$A$1&amp;'MR Gigaloterias'!A39&amp;",'"&amp;'MR Gigaloterias'!B39&amp;"',"&amp;'MR Gigaloterias'!C39&amp;","&amp;'MR Gigaloterias'!D39&amp;","&amp;'MR Gigaloterias'!E39&amp;","&amp;'MR Gigaloterias'!F39&amp;","&amp;'MR Gigaloterias'!G39&amp;","&amp;IF(('MR Gigaloterias'!H39)="","NULL",('MR Gigaloterias'!H39))&amp;","&amp;IF(('MR Gigaloterias'!I39)="","NULL","'"&amp;('MR Gigaloterias'!I39)&amp;"'")&amp;","&amp;IF(('MR Gigaloterias'!J39)="","NULL",('MR Gigaloterias'!J39))&amp;");"</f>
        <v>INSERT INTO OLAP_SYS.S_CALCULO_STATS (DRAWING_TYPE,DRAWING_ID,B_TYPE,DIGIT,COLOR_UBICACION,UBICACION,LEY_TERCIO,CICLO_APARICION,PRONOS_CICLO,PREFERENCIA_FLAG,RANGO_LEY_TERCIO) VALUES('mrtr',1425,'B3',20,2,6,0,13,13,'X',7);</v>
      </c>
    </row>
    <row r="40" spans="1:1" x14ac:dyDescent="0.25">
      <c r="A40" t="str">
        <f>$A$1&amp;'MR Gigaloterias'!A40&amp;",'"&amp;'MR Gigaloterias'!B40&amp;"',"&amp;'MR Gigaloterias'!C40&amp;","&amp;'MR Gigaloterias'!D40&amp;","&amp;'MR Gigaloterias'!E40&amp;","&amp;'MR Gigaloterias'!F40&amp;","&amp;'MR Gigaloterias'!G40&amp;","&amp;IF(('MR Gigaloterias'!H40)="","NULL",('MR Gigaloterias'!H40))&amp;","&amp;IF(('MR Gigaloterias'!I40)="","NULL","'"&amp;('MR Gigaloterias'!I40)&amp;"'")&amp;","&amp;IF(('MR Gigaloterias'!J40)="","NULL",('MR Gigaloterias'!J40))&amp;");"</f>
        <v>INSERT INTO OLAP_SYS.S_CALCULO_STATS (DRAWING_TYPE,DRAWING_ID,B_TYPE,DIGIT,COLOR_UBICACION,UBICACION,LEY_TERCIO,CICLO_APARICION,PRONOS_CICLO,PREFERENCIA_FLAG,RANGO_LEY_TERCIO) VALUES('mrtr',1425,'B3',17,2,6,0,12,12,NULL,8);</v>
      </c>
    </row>
    <row r="41" spans="1:1" x14ac:dyDescent="0.25">
      <c r="A41" t="str">
        <f>$A$1&amp;'MR Gigaloterias'!A41&amp;",'"&amp;'MR Gigaloterias'!B41&amp;"',"&amp;'MR Gigaloterias'!C41&amp;","&amp;'MR Gigaloterias'!D41&amp;","&amp;'MR Gigaloterias'!E41&amp;","&amp;'MR Gigaloterias'!F41&amp;","&amp;'MR Gigaloterias'!G41&amp;","&amp;IF(('MR Gigaloterias'!H41)="","NULL",('MR Gigaloterias'!H41))&amp;","&amp;IF(('MR Gigaloterias'!I41)="","NULL","'"&amp;('MR Gigaloterias'!I41)&amp;"'")&amp;","&amp;IF(('MR Gigaloterias'!J41)="","NULL",('MR Gigaloterias'!J41))&amp;");"</f>
        <v>INSERT INTO OLAP_SYS.S_CALCULO_STATS (DRAWING_TYPE,DRAWING_ID,B_TYPE,DIGIT,COLOR_UBICACION,UBICACION,LEY_TERCIO,CICLO_APARICION,PRONOS_CICLO,PREFERENCIA_FLAG,RANGO_LEY_TERCIO) VALUES('mrtr',1425,'B3',18,3,5,0,18,18,'X',9);</v>
      </c>
    </row>
    <row r="42" spans="1:1" x14ac:dyDescent="0.25">
      <c r="A42" t="str">
        <f>$A$1&amp;'MR Gigaloterias'!A42&amp;",'"&amp;'MR Gigaloterias'!B42&amp;"',"&amp;'MR Gigaloterias'!C42&amp;","&amp;'MR Gigaloterias'!D42&amp;","&amp;'MR Gigaloterias'!E42&amp;","&amp;'MR Gigaloterias'!F42&amp;","&amp;'MR Gigaloterias'!G42&amp;","&amp;IF(('MR Gigaloterias'!H42)="","NULL",('MR Gigaloterias'!H42))&amp;","&amp;IF(('MR Gigaloterias'!I42)="","NULL","'"&amp;('MR Gigaloterias'!I42)&amp;"'")&amp;","&amp;IF(('MR Gigaloterias'!J42)="","NULL",('MR Gigaloterias'!J42))&amp;");"</f>
        <v>INSERT INTO OLAP_SYS.S_CALCULO_STATS (DRAWING_TYPE,DRAWING_ID,B_TYPE,DIGIT,COLOR_UBICACION,UBICACION,LEY_TERCIO,CICLO_APARICION,PRONOS_CICLO,PREFERENCIA_FLAG,RANGO_LEY_TERCIO) VALUES('mrtr',1425,'B3',15,3,5,0,19,19,NULL,10);</v>
      </c>
    </row>
    <row r="43" spans="1:1" x14ac:dyDescent="0.25">
      <c r="A43" t="str">
        <f>$A$1&amp;'MR Gigaloterias'!A43&amp;",'"&amp;'MR Gigaloterias'!B43&amp;"',"&amp;'MR Gigaloterias'!C43&amp;","&amp;'MR Gigaloterias'!D43&amp;","&amp;'MR Gigaloterias'!E43&amp;","&amp;'MR Gigaloterias'!F43&amp;","&amp;'MR Gigaloterias'!G43&amp;","&amp;IF(('MR Gigaloterias'!H43)="","NULL",('MR Gigaloterias'!H43))&amp;","&amp;IF(('MR Gigaloterias'!I43)="","NULL","'"&amp;('MR Gigaloterias'!I43)&amp;"'")&amp;","&amp;IF(('MR Gigaloterias'!J43)="","NULL",('MR Gigaloterias'!J43))&amp;");"</f>
        <v>INSERT INTO OLAP_SYS.S_CALCULO_STATS (DRAWING_TYPE,DRAWING_ID,B_TYPE,DIGIT,COLOR_UBICACION,UBICACION,LEY_TERCIO,CICLO_APARICION,PRONOS_CICLO,PREFERENCIA_FLAG,RANGO_LEY_TERCIO) VALUES('mrtr',1425,'B3',11,3,5,2,13,NULL,NULL,11);</v>
      </c>
    </row>
    <row r="44" spans="1:1" x14ac:dyDescent="0.25">
      <c r="A44" t="str">
        <f>$A$1&amp;'MR Gigaloterias'!A44&amp;",'"&amp;'MR Gigaloterias'!B44&amp;"',"&amp;'MR Gigaloterias'!C44&amp;","&amp;'MR Gigaloterias'!D44&amp;","&amp;'MR Gigaloterias'!E44&amp;","&amp;'MR Gigaloterias'!F44&amp;","&amp;'MR Gigaloterias'!G44&amp;","&amp;IF(('MR Gigaloterias'!H44)="","NULL",('MR Gigaloterias'!H44))&amp;","&amp;IF(('MR Gigaloterias'!I44)="","NULL","'"&amp;('MR Gigaloterias'!I44)&amp;"'")&amp;","&amp;IF(('MR Gigaloterias'!J44)="","NULL",('MR Gigaloterias'!J44))&amp;");"</f>
        <v>INSERT INTO OLAP_SYS.S_CALCULO_STATS (DRAWING_TYPE,DRAWING_ID,B_TYPE,DIGIT,COLOR_UBICACION,UBICACION,LEY_TERCIO,CICLO_APARICION,PRONOS_CICLO,PREFERENCIA_FLAG,RANGO_LEY_TERCIO) VALUES('mrtr',1425,'B3',9,3,5,1,16,NULL,NULL,12);</v>
      </c>
    </row>
    <row r="45" spans="1:1" x14ac:dyDescent="0.25">
      <c r="A45" t="str">
        <f>$A$1&amp;'MR Gigaloterias'!A45&amp;",'"&amp;'MR Gigaloterias'!B45&amp;"',"&amp;'MR Gigaloterias'!C45&amp;","&amp;'MR Gigaloterias'!D45&amp;","&amp;'MR Gigaloterias'!E45&amp;","&amp;'MR Gigaloterias'!F45&amp;","&amp;'MR Gigaloterias'!G45&amp;","&amp;IF(('MR Gigaloterias'!H45)="","NULL",('MR Gigaloterias'!H45))&amp;","&amp;IF(('MR Gigaloterias'!I45)="","NULL","'"&amp;('MR Gigaloterias'!I45)&amp;"'")&amp;","&amp;IF(('MR Gigaloterias'!J45)="","NULL",('MR Gigaloterias'!J45))&amp;");"</f>
        <v>INSERT INTO OLAP_SYS.S_CALCULO_STATS (DRAWING_TYPE,DRAWING_ID,B_TYPE,DIGIT,COLOR_UBICACION,UBICACION,LEY_TERCIO,CICLO_APARICION,PRONOS_CICLO,PREFERENCIA_FLAG,RANGO_LEY_TERCIO) VALUES('mrtr',1425,'B3',7,3,4,0,22,22,NULL,13);</v>
      </c>
    </row>
    <row r="46" spans="1:1" x14ac:dyDescent="0.25">
      <c r="A46" t="str">
        <f>$A$1&amp;'MR Gigaloterias'!A46&amp;",'"&amp;'MR Gigaloterias'!B46&amp;"',"&amp;'MR Gigaloterias'!C46&amp;","&amp;'MR Gigaloterias'!D46&amp;","&amp;'MR Gigaloterias'!E46&amp;","&amp;'MR Gigaloterias'!F46&amp;","&amp;'MR Gigaloterias'!G46&amp;","&amp;IF(('MR Gigaloterias'!H46)="","NULL",('MR Gigaloterias'!H46))&amp;","&amp;IF(('MR Gigaloterias'!I46)="","NULL","'"&amp;('MR Gigaloterias'!I46)&amp;"'")&amp;","&amp;IF(('MR Gigaloterias'!J46)="","NULL",('MR Gigaloterias'!J46))&amp;");"</f>
        <v>INSERT INTO OLAP_SYS.S_CALCULO_STATS (DRAWING_TYPE,DRAWING_ID,B_TYPE,DIGIT,COLOR_UBICACION,UBICACION,LEY_TERCIO,CICLO_APARICION,PRONOS_CICLO,PREFERENCIA_FLAG,RANGO_LEY_TERCIO) VALUES('mrtr',1425,'B3',6,3,4,1,21,NULL,'X',14);</v>
      </c>
    </row>
    <row r="47" spans="1:1" x14ac:dyDescent="0.25">
      <c r="A47" t="str">
        <f>$A$1&amp;'MR Gigaloterias'!A47&amp;",'"&amp;'MR Gigaloterias'!B47&amp;"',"&amp;'MR Gigaloterias'!C47&amp;","&amp;'MR Gigaloterias'!D47&amp;","&amp;'MR Gigaloterias'!E47&amp;","&amp;'MR Gigaloterias'!F47&amp;","&amp;'MR Gigaloterias'!G47&amp;","&amp;IF(('MR Gigaloterias'!H47)="","NULL",('MR Gigaloterias'!H47))&amp;","&amp;IF(('MR Gigaloterias'!I47)="","NULL","'"&amp;('MR Gigaloterias'!I47)&amp;"'")&amp;","&amp;IF(('MR Gigaloterias'!J47)="","NULL",('MR Gigaloterias'!J47))&amp;");"</f>
        <v>INSERT INTO OLAP_SYS.S_CALCULO_STATS (DRAWING_TYPE,DRAWING_ID,B_TYPE,DIGIT,COLOR_UBICACION,UBICACION,LEY_TERCIO,CICLO_APARICION,PRONOS_CICLO,PREFERENCIA_FLAG,RANGO_LEY_TERCIO) VALUES('mrtr',1425,'B3',,3,,0,,NULL,NULL,15);</v>
      </c>
    </row>
    <row r="48" spans="1:1" x14ac:dyDescent="0.25">
      <c r="A48" t="str">
        <f>$A$1&amp;'MR Gigaloterias'!A48&amp;",'"&amp;'MR Gigaloterias'!B48&amp;"',"&amp;'MR Gigaloterias'!C48&amp;","&amp;'MR Gigaloterias'!D48&amp;","&amp;'MR Gigaloterias'!E48&amp;","&amp;'MR Gigaloterias'!F48&amp;","&amp;'MR Gigaloterias'!G48&amp;","&amp;IF(('MR Gigaloterias'!H48)="","NULL",('MR Gigaloterias'!H48))&amp;","&amp;IF(('MR Gigaloterias'!I48)="","NULL","'"&amp;('MR Gigaloterias'!I48)&amp;"'")&amp;","&amp;IF(('MR Gigaloterias'!J48)="","NULL",('MR Gigaloterias'!J48))&amp;");"</f>
        <v>INSERT INTO OLAP_SYS.S_CALCULO_STATS (DRAWING_TYPE,DRAWING_ID,B_TYPE,DIGIT,COLOR_UBICACION,UBICACION,LEY_TERCIO,CICLO_APARICION,PRONOS_CICLO,PREFERENCIA_FLAG,RANGO_LEY_TERCIO) VALUES('mrtr',1425,'B3',,3,,0,,NULL,NULL,16);</v>
      </c>
    </row>
    <row r="49" spans="1:1" x14ac:dyDescent="0.25">
      <c r="A49" t="str">
        <f>$A$1&amp;'MR Gigaloterias'!A49&amp;",'"&amp;'MR Gigaloterias'!B49&amp;"',"&amp;'MR Gigaloterias'!C49&amp;","&amp;'MR Gigaloterias'!D49&amp;","&amp;'MR Gigaloterias'!E49&amp;","&amp;'MR Gigaloterias'!F49&amp;","&amp;'MR Gigaloterias'!G49&amp;","&amp;IF(('MR Gigaloterias'!H49)="","NULL",('MR Gigaloterias'!H49))&amp;","&amp;IF(('MR Gigaloterias'!I49)="","NULL","'"&amp;('MR Gigaloterias'!I49)&amp;"'")&amp;","&amp;IF(('MR Gigaloterias'!J49)="","NULL",('MR Gigaloterias'!J49))&amp;");"</f>
        <v>INSERT INTO OLAP_SYS.S_CALCULO_STATS (DRAWING_TYPE,DRAWING_ID,B_TYPE,DIGIT,COLOR_UBICACION,UBICACION,LEY_TERCIO,CICLO_APARICION,PRONOS_CICLO,PREFERENCIA_FLAG,RANGO_LEY_TERCIO) VALUES('mrtr',1425,'B3',,3,,0,,NULL,NULL,17);</v>
      </c>
    </row>
    <row r="50" spans="1:1" x14ac:dyDescent="0.25">
      <c r="A50" t="str">
        <f>$A$1&amp;'MR Gigaloterias'!A50&amp;",'"&amp;'MR Gigaloterias'!B50&amp;"',"&amp;'MR Gigaloterias'!C50&amp;","&amp;'MR Gigaloterias'!D50&amp;","&amp;'MR Gigaloterias'!E50&amp;","&amp;'MR Gigaloterias'!F50&amp;","&amp;'MR Gigaloterias'!G50&amp;","&amp;IF(('MR Gigaloterias'!H50)="","NULL",('MR Gigaloterias'!H50))&amp;","&amp;IF(('MR Gigaloterias'!I50)="","NULL","'"&amp;('MR Gigaloterias'!I50)&amp;"'")&amp;","&amp;IF(('MR Gigaloterias'!J50)="","NULL",('MR Gigaloterias'!J50))&amp;");"</f>
        <v>INSERT INTO OLAP_SYS.S_CALCULO_STATS (DRAWING_TYPE,DRAWING_ID,B_TYPE,DIGIT,COLOR_UBICACION,UBICACION,LEY_TERCIO,CICLO_APARICION,PRONOS_CICLO,PREFERENCIA_FLAG,RANGO_LEY_TERCIO) VALUES('mrtr',1425,'B3',,,,0,,NULL,NULL,18);</v>
      </c>
    </row>
    <row r="51" spans="1:1" x14ac:dyDescent="0.25">
      <c r="A51" t="str">
        <f>$A$1&amp;'MR Gigaloterias'!A51&amp;",'"&amp;'MR Gigaloterias'!B51&amp;"',"&amp;'MR Gigaloterias'!C51&amp;","&amp;'MR Gigaloterias'!D51&amp;","&amp;'MR Gigaloterias'!E51&amp;","&amp;'MR Gigaloterias'!F51&amp;","&amp;'MR Gigaloterias'!G51&amp;","&amp;IF(('MR Gigaloterias'!H51)="","NULL",('MR Gigaloterias'!H51))&amp;","&amp;IF(('MR Gigaloterias'!I51)="","NULL","'"&amp;('MR Gigaloterias'!I51)&amp;"'")&amp;","&amp;IF(('MR Gigaloterias'!J51)="","NULL",('MR Gigaloterias'!J51))&amp;");"</f>
        <v>INSERT INTO OLAP_SYS.S_CALCULO_STATS (DRAWING_TYPE,DRAWING_ID,B_TYPE,DIGIT,COLOR_UBICACION,UBICACION,LEY_TERCIO,CICLO_APARICION,PRONOS_CICLO,PREFERENCIA_FLAG,RANGO_LEY_TERCIO) VALUES('mrtr',1425,'B3',,,,0,,NULL,NULL,19);</v>
      </c>
    </row>
    <row r="52" spans="1:1" x14ac:dyDescent="0.25">
      <c r="A52" t="str">
        <f>$A$1&amp;'MR Gigaloterias'!A52&amp;",'"&amp;'MR Gigaloterias'!B52&amp;"',"&amp;'MR Gigaloterias'!C52&amp;","&amp;'MR Gigaloterias'!D52&amp;","&amp;'MR Gigaloterias'!E52&amp;","&amp;'MR Gigaloterias'!F52&amp;","&amp;'MR Gigaloterias'!G52&amp;","&amp;IF(('MR Gigaloterias'!H52)="","NULL",('MR Gigaloterias'!H52))&amp;","&amp;IF(('MR Gigaloterias'!I52)="","NULL","'"&amp;('MR Gigaloterias'!I52)&amp;"'")&amp;","&amp;IF(('MR Gigaloterias'!J52)="","NULL",('MR Gigaloterias'!J52))&amp;");"</f>
        <v>INSERT INTO OLAP_SYS.S_CALCULO_STATS (DRAWING_TYPE,DRAWING_ID,B_TYPE,DIGIT,COLOR_UBICACION,UBICACION,LEY_TERCIO,CICLO_APARICION,PRONOS_CICLO,PREFERENCIA_FLAG,RANGO_LEY_TERCIO) VALUES('mrtr',1425,'B4',29,1,9,1,7,NULL,NULL,1);</v>
      </c>
    </row>
    <row r="53" spans="1:1" x14ac:dyDescent="0.25">
      <c r="A53" t="str">
        <f>$A$1&amp;'MR Gigaloterias'!A53&amp;",'"&amp;'MR Gigaloterias'!B53&amp;"',"&amp;'MR Gigaloterias'!C53&amp;","&amp;'MR Gigaloterias'!D53&amp;","&amp;'MR Gigaloterias'!E53&amp;","&amp;'MR Gigaloterias'!F53&amp;","&amp;'MR Gigaloterias'!G53&amp;","&amp;IF(('MR Gigaloterias'!H53)="","NULL",('MR Gigaloterias'!H53))&amp;","&amp;IF(('MR Gigaloterias'!I53)="","NULL","'"&amp;('MR Gigaloterias'!I53)&amp;"'")&amp;","&amp;IF(('MR Gigaloterias'!J53)="","NULL",('MR Gigaloterias'!J53))&amp;");"</f>
        <v>INSERT INTO OLAP_SYS.S_CALCULO_STATS (DRAWING_TYPE,DRAWING_ID,B_TYPE,DIGIT,COLOR_UBICACION,UBICACION,LEY_TERCIO,CICLO_APARICION,PRONOS_CICLO,PREFERENCIA_FLAG,RANGO_LEY_TERCIO) VALUES('mrtr',1425,'B4',23,1,7,0,10,10,NULL,2);</v>
      </c>
    </row>
    <row r="54" spans="1:1" x14ac:dyDescent="0.25">
      <c r="A54" t="str">
        <f>$A$1&amp;'MR Gigaloterias'!A54&amp;",'"&amp;'MR Gigaloterias'!B54&amp;"',"&amp;'MR Gigaloterias'!C54&amp;","&amp;'MR Gigaloterias'!D54&amp;","&amp;'MR Gigaloterias'!E54&amp;","&amp;'MR Gigaloterias'!F54&amp;","&amp;'MR Gigaloterias'!G54&amp;","&amp;IF(('MR Gigaloterias'!H54)="","NULL",('MR Gigaloterias'!H54))&amp;","&amp;IF(('MR Gigaloterias'!I54)="","NULL","'"&amp;('MR Gigaloterias'!I54)&amp;"'")&amp;","&amp;IF(('MR Gigaloterias'!J54)="","NULL",('MR Gigaloterias'!J54))&amp;");"</f>
        <v>INSERT INTO OLAP_SYS.S_CALCULO_STATS (DRAWING_TYPE,DRAWING_ID,B_TYPE,DIGIT,COLOR_UBICACION,UBICACION,LEY_TERCIO,CICLO_APARICION,PRONOS_CICLO,PREFERENCIA_FLAG,RANGO_LEY_TERCIO) VALUES('mrtr',1425,'B4',30,1,6,1,16,NULL,'X',3);</v>
      </c>
    </row>
    <row r="55" spans="1:1" x14ac:dyDescent="0.25">
      <c r="A55" t="str">
        <f>$A$1&amp;'MR Gigaloterias'!A55&amp;",'"&amp;'MR Gigaloterias'!B55&amp;"',"&amp;'MR Gigaloterias'!C55&amp;","&amp;'MR Gigaloterias'!D55&amp;","&amp;'MR Gigaloterias'!E55&amp;","&amp;'MR Gigaloterias'!F55&amp;","&amp;'MR Gigaloterias'!G55&amp;","&amp;IF(('MR Gigaloterias'!H55)="","NULL",('MR Gigaloterias'!H55))&amp;","&amp;IF(('MR Gigaloterias'!I55)="","NULL","'"&amp;('MR Gigaloterias'!I55)&amp;"'")&amp;","&amp;IF(('MR Gigaloterias'!J55)="","NULL",('MR Gigaloterias'!J55))&amp;");"</f>
        <v>INSERT INTO OLAP_SYS.S_CALCULO_STATS (DRAWING_TYPE,DRAWING_ID,B_TYPE,DIGIT,COLOR_UBICACION,UBICACION,LEY_TERCIO,CICLO_APARICION,PRONOS_CICLO,PREFERENCIA_FLAG,RANGO_LEY_TERCIO) VALUES('mrtr',1425,'B4',28,1,6,1,15,NULL,'X',4);</v>
      </c>
    </row>
    <row r="56" spans="1:1" x14ac:dyDescent="0.25">
      <c r="A56" t="str">
        <f>$A$1&amp;'MR Gigaloterias'!A56&amp;",'"&amp;'MR Gigaloterias'!B56&amp;"',"&amp;'MR Gigaloterias'!C56&amp;","&amp;'MR Gigaloterias'!D56&amp;","&amp;'MR Gigaloterias'!E56&amp;","&amp;'MR Gigaloterias'!F56&amp;","&amp;'MR Gigaloterias'!G56&amp;","&amp;IF(('MR Gigaloterias'!H56)="","NULL",('MR Gigaloterias'!H56))&amp;","&amp;IF(('MR Gigaloterias'!I56)="","NULL","'"&amp;('MR Gigaloterias'!I56)&amp;"'")&amp;","&amp;IF(('MR Gigaloterias'!J56)="","NULL",('MR Gigaloterias'!J56))&amp;");"</f>
        <v>INSERT INTO OLAP_SYS.S_CALCULO_STATS (DRAWING_TYPE,DRAWING_ID,B_TYPE,DIGIT,COLOR_UBICACION,UBICACION,LEY_TERCIO,CICLO_APARICION,PRONOS_CICLO,PREFERENCIA_FLAG,RANGO_LEY_TERCIO) VALUES('mrtr',1425,'B4',26,2,6,0,13,13,'X',5);</v>
      </c>
    </row>
    <row r="57" spans="1:1" x14ac:dyDescent="0.25">
      <c r="A57" t="str">
        <f>$A$1&amp;'MR Gigaloterias'!A57&amp;",'"&amp;'MR Gigaloterias'!B57&amp;"',"&amp;'MR Gigaloterias'!C57&amp;","&amp;'MR Gigaloterias'!D57&amp;","&amp;'MR Gigaloterias'!E57&amp;","&amp;'MR Gigaloterias'!F57&amp;","&amp;'MR Gigaloterias'!G57&amp;","&amp;IF(('MR Gigaloterias'!H57)="","NULL",('MR Gigaloterias'!H57))&amp;","&amp;IF(('MR Gigaloterias'!I57)="","NULL","'"&amp;('MR Gigaloterias'!I57)&amp;"'")&amp;","&amp;IF(('MR Gigaloterias'!J57)="","NULL",('MR Gigaloterias'!J57))&amp;");"</f>
        <v>INSERT INTO OLAP_SYS.S_CALCULO_STATS (DRAWING_TYPE,DRAWING_ID,B_TYPE,DIGIT,COLOR_UBICACION,UBICACION,LEY_TERCIO,CICLO_APARICION,PRONOS_CICLO,PREFERENCIA_FLAG,RANGO_LEY_TERCIO) VALUES('mrtr',1425,'B4',22,2,6,0,15,15,'X',6);</v>
      </c>
    </row>
    <row r="58" spans="1:1" x14ac:dyDescent="0.25">
      <c r="A58" t="str">
        <f>$A$1&amp;'MR Gigaloterias'!A58&amp;",'"&amp;'MR Gigaloterias'!B58&amp;"',"&amp;'MR Gigaloterias'!C58&amp;","&amp;'MR Gigaloterias'!D58&amp;","&amp;'MR Gigaloterias'!E58&amp;","&amp;'MR Gigaloterias'!F58&amp;","&amp;'MR Gigaloterias'!G58&amp;","&amp;IF(('MR Gigaloterias'!H58)="","NULL",('MR Gigaloterias'!H58))&amp;","&amp;IF(('MR Gigaloterias'!I58)="","NULL","'"&amp;('MR Gigaloterias'!I58)&amp;"'")&amp;","&amp;IF(('MR Gigaloterias'!J58)="","NULL",('MR Gigaloterias'!J58))&amp;");"</f>
        <v>INSERT INTO OLAP_SYS.S_CALCULO_STATS (DRAWING_TYPE,DRAWING_ID,B_TYPE,DIGIT,COLOR_UBICACION,UBICACION,LEY_TERCIO,CICLO_APARICION,PRONOS_CICLO,PREFERENCIA_FLAG,RANGO_LEY_TERCIO) VALUES('mrtr',1425,'B4',21,2,6,0,15,15,NULL,7);</v>
      </c>
    </row>
    <row r="59" spans="1:1" x14ac:dyDescent="0.25">
      <c r="A59" t="str">
        <f>$A$1&amp;'MR Gigaloterias'!A59&amp;",'"&amp;'MR Gigaloterias'!B59&amp;"',"&amp;'MR Gigaloterias'!C59&amp;","&amp;'MR Gigaloterias'!D59&amp;","&amp;'MR Gigaloterias'!E59&amp;","&amp;'MR Gigaloterias'!F59&amp;","&amp;'MR Gigaloterias'!G59&amp;","&amp;IF(('MR Gigaloterias'!H59)="","NULL",('MR Gigaloterias'!H59))&amp;","&amp;IF(('MR Gigaloterias'!I59)="","NULL","'"&amp;('MR Gigaloterias'!I59)&amp;"'")&amp;","&amp;IF(('MR Gigaloterias'!J59)="","NULL",('MR Gigaloterias'!J59))&amp;");"</f>
        <v>INSERT INTO OLAP_SYS.S_CALCULO_STATS (DRAWING_TYPE,DRAWING_ID,B_TYPE,DIGIT,COLOR_UBICACION,UBICACION,LEY_TERCIO,CICLO_APARICION,PRONOS_CICLO,PREFERENCIA_FLAG,RANGO_LEY_TERCIO) VALUES('mrtr',1425,'B4',17,2,6,1,13,NULL,NULL,8);</v>
      </c>
    </row>
    <row r="60" spans="1:1" x14ac:dyDescent="0.25">
      <c r="A60" t="str">
        <f>$A$1&amp;'MR Gigaloterias'!A60&amp;",'"&amp;'MR Gigaloterias'!B60&amp;"',"&amp;'MR Gigaloterias'!C60&amp;","&amp;'MR Gigaloterias'!D60&amp;","&amp;'MR Gigaloterias'!E60&amp;","&amp;'MR Gigaloterias'!F60&amp;","&amp;'MR Gigaloterias'!G60&amp;","&amp;IF(('MR Gigaloterias'!H60)="","NULL",('MR Gigaloterias'!H60))&amp;","&amp;IF(('MR Gigaloterias'!I60)="","NULL","'"&amp;('MR Gigaloterias'!I60)&amp;"'")&amp;","&amp;IF(('MR Gigaloterias'!J60)="","NULL",('MR Gigaloterias'!J60))&amp;");"</f>
        <v>INSERT INTO OLAP_SYS.S_CALCULO_STATS (DRAWING_TYPE,DRAWING_ID,B_TYPE,DIGIT,COLOR_UBICACION,UBICACION,LEY_TERCIO,CICLO_APARICION,PRONOS_CICLO,PREFERENCIA_FLAG,RANGO_LEY_TERCIO) VALUES('mrtr',1425,'B4',24,3,5,1,19,NULL,'X',9);</v>
      </c>
    </row>
    <row r="61" spans="1:1" x14ac:dyDescent="0.25">
      <c r="A61" t="str">
        <f>$A$1&amp;'MR Gigaloterias'!A61&amp;",'"&amp;'MR Gigaloterias'!B61&amp;"',"&amp;'MR Gigaloterias'!C61&amp;","&amp;'MR Gigaloterias'!D61&amp;","&amp;'MR Gigaloterias'!E61&amp;","&amp;'MR Gigaloterias'!F61&amp;","&amp;'MR Gigaloterias'!G61&amp;","&amp;IF(('MR Gigaloterias'!H61)="","NULL",('MR Gigaloterias'!H61))&amp;","&amp;IF(('MR Gigaloterias'!I61)="","NULL","'"&amp;('MR Gigaloterias'!I61)&amp;"'")&amp;","&amp;IF(('MR Gigaloterias'!J61)="","NULL",('MR Gigaloterias'!J61))&amp;");"</f>
        <v>INSERT INTO OLAP_SYS.S_CALCULO_STATS (DRAWING_TYPE,DRAWING_ID,B_TYPE,DIGIT,COLOR_UBICACION,UBICACION,LEY_TERCIO,CICLO_APARICION,PRONOS_CICLO,PREFERENCIA_FLAG,RANGO_LEY_TERCIO) VALUES('mrtr',1425,'B4',11,3,5,2,18,NULL,NULL,10);</v>
      </c>
    </row>
    <row r="62" spans="1:1" x14ac:dyDescent="0.25">
      <c r="A62" t="str">
        <f>$A$1&amp;'MR Gigaloterias'!A62&amp;",'"&amp;'MR Gigaloterias'!B62&amp;"',"&amp;'MR Gigaloterias'!C62&amp;","&amp;'MR Gigaloterias'!D62&amp;","&amp;'MR Gigaloterias'!E62&amp;","&amp;'MR Gigaloterias'!F62&amp;","&amp;'MR Gigaloterias'!G62&amp;","&amp;IF(('MR Gigaloterias'!H62)="","NULL",('MR Gigaloterias'!H62))&amp;","&amp;IF(('MR Gigaloterias'!I62)="","NULL","'"&amp;('MR Gigaloterias'!I62)&amp;"'")&amp;","&amp;IF(('MR Gigaloterias'!J62)="","NULL",('MR Gigaloterias'!J62))&amp;");"</f>
        <v>INSERT INTO OLAP_SYS.S_CALCULO_STATS (DRAWING_TYPE,DRAWING_ID,B_TYPE,DIGIT,COLOR_UBICACION,UBICACION,LEY_TERCIO,CICLO_APARICION,PRONOS_CICLO,PREFERENCIA_FLAG,RANGO_LEY_TERCIO) VALUES('mrtr',1425,'B4',20,3,4,0,22,NULL,'X',11);</v>
      </c>
    </row>
    <row r="63" spans="1:1" x14ac:dyDescent="0.25">
      <c r="A63" t="str">
        <f>$A$1&amp;'MR Gigaloterias'!A63&amp;",'"&amp;'MR Gigaloterias'!B63&amp;"',"&amp;'MR Gigaloterias'!C63&amp;","&amp;'MR Gigaloterias'!D63&amp;","&amp;'MR Gigaloterias'!E63&amp;","&amp;'MR Gigaloterias'!F63&amp;","&amp;'MR Gigaloterias'!G63&amp;","&amp;IF(('MR Gigaloterias'!H63)="","NULL",('MR Gigaloterias'!H63))&amp;","&amp;IF(('MR Gigaloterias'!I63)="","NULL","'"&amp;('MR Gigaloterias'!I63)&amp;"'")&amp;","&amp;IF(('MR Gigaloterias'!J63)="","NULL",('MR Gigaloterias'!J63))&amp;");"</f>
        <v>INSERT INTO OLAP_SYS.S_CALCULO_STATS (DRAWING_TYPE,DRAWING_ID,B_TYPE,DIGIT,COLOR_UBICACION,UBICACION,LEY_TERCIO,CICLO_APARICION,PRONOS_CICLO,PREFERENCIA_FLAG,RANGO_LEY_TERCIO) VALUES('mrtr',1425,'B4',19,3,4,1,14,NULL,NULL,12);</v>
      </c>
    </row>
    <row r="64" spans="1:1" x14ac:dyDescent="0.25">
      <c r="A64" t="str">
        <f>$A$1&amp;'MR Gigaloterias'!A64&amp;",'"&amp;'MR Gigaloterias'!B64&amp;"',"&amp;'MR Gigaloterias'!C64&amp;","&amp;'MR Gigaloterias'!D64&amp;","&amp;'MR Gigaloterias'!E64&amp;","&amp;'MR Gigaloterias'!F64&amp;","&amp;'MR Gigaloterias'!G64&amp;","&amp;IF(('MR Gigaloterias'!H64)="","NULL",('MR Gigaloterias'!H64))&amp;","&amp;IF(('MR Gigaloterias'!I64)="","NULL","'"&amp;('MR Gigaloterias'!I64)&amp;"'")&amp;","&amp;IF(('MR Gigaloterias'!J64)="","NULL",('MR Gigaloterias'!J64))&amp;");"</f>
        <v>INSERT INTO OLAP_SYS.S_CALCULO_STATS (DRAWING_TYPE,DRAWING_ID,B_TYPE,DIGIT,COLOR_UBICACION,UBICACION,LEY_TERCIO,CICLO_APARICION,PRONOS_CICLO,PREFERENCIA_FLAG,RANGO_LEY_TERCIO) VALUES('mrtr',1425,'B4',14,3,4,1,13,NULL,'X',13);</v>
      </c>
    </row>
    <row r="65" spans="1:1" x14ac:dyDescent="0.25">
      <c r="A65" t="str">
        <f>$A$1&amp;'MR Gigaloterias'!A65&amp;",'"&amp;'MR Gigaloterias'!B65&amp;"',"&amp;'MR Gigaloterias'!C65&amp;","&amp;'MR Gigaloterias'!D65&amp;","&amp;'MR Gigaloterias'!E65&amp;","&amp;'MR Gigaloterias'!F65&amp;","&amp;'MR Gigaloterias'!G65&amp;","&amp;IF(('MR Gigaloterias'!H65)="","NULL",('MR Gigaloterias'!H65))&amp;","&amp;IF(('MR Gigaloterias'!I65)="","NULL","'"&amp;('MR Gigaloterias'!I65)&amp;"'")&amp;","&amp;IF(('MR Gigaloterias'!J65)="","NULL",('MR Gigaloterias'!J65))&amp;");"</f>
        <v>INSERT INTO OLAP_SYS.S_CALCULO_STATS (DRAWING_TYPE,DRAWING_ID,B_TYPE,DIGIT,COLOR_UBICACION,UBICACION,LEY_TERCIO,CICLO_APARICION,PRONOS_CICLO,PREFERENCIA_FLAG,RANGO_LEY_TERCIO) VALUES('mrtr',1425,'B4',13,3,4,2,23,NULL,NULL,14);</v>
      </c>
    </row>
    <row r="66" spans="1:1" x14ac:dyDescent="0.25">
      <c r="A66" t="str">
        <f>$A$1&amp;'MR Gigaloterias'!A66&amp;",'"&amp;'MR Gigaloterias'!B66&amp;"',"&amp;'MR Gigaloterias'!C66&amp;","&amp;'MR Gigaloterias'!D66&amp;","&amp;'MR Gigaloterias'!E66&amp;","&amp;'MR Gigaloterias'!F66&amp;","&amp;'MR Gigaloterias'!G66&amp;","&amp;IF(('MR Gigaloterias'!H66)="","NULL",('MR Gigaloterias'!H66))&amp;","&amp;IF(('MR Gigaloterias'!I66)="","NULL","'"&amp;('MR Gigaloterias'!I66)&amp;"'")&amp;","&amp;IF(('MR Gigaloterias'!J66)="","NULL",('MR Gigaloterias'!J66))&amp;");"</f>
        <v>INSERT INTO OLAP_SYS.S_CALCULO_STATS (DRAWING_TYPE,DRAWING_ID,B_TYPE,DIGIT,COLOR_UBICACION,UBICACION,LEY_TERCIO,CICLO_APARICION,PRONOS_CICLO,PREFERENCIA_FLAG,RANGO_LEY_TERCIO) VALUES('mrtr',1425,'B4',,,,1,,NULL,NULL,15);</v>
      </c>
    </row>
    <row r="67" spans="1:1" x14ac:dyDescent="0.25">
      <c r="A67" t="str">
        <f>$A$1&amp;'MR Gigaloterias'!A67&amp;",'"&amp;'MR Gigaloterias'!B67&amp;"',"&amp;'MR Gigaloterias'!C67&amp;","&amp;'MR Gigaloterias'!D67&amp;","&amp;'MR Gigaloterias'!E67&amp;","&amp;'MR Gigaloterias'!F67&amp;","&amp;'MR Gigaloterias'!G67&amp;","&amp;IF(('MR Gigaloterias'!H67)="","NULL",('MR Gigaloterias'!H67))&amp;","&amp;IF(('MR Gigaloterias'!I67)="","NULL","'"&amp;('MR Gigaloterias'!I67)&amp;"'")&amp;","&amp;IF(('MR Gigaloterias'!J67)="","NULL",('MR Gigaloterias'!J67))&amp;");"</f>
        <v>INSERT INTO OLAP_SYS.S_CALCULO_STATS (DRAWING_TYPE,DRAWING_ID,B_TYPE,DIGIT,COLOR_UBICACION,UBICACION,LEY_TERCIO,CICLO_APARICION,PRONOS_CICLO,PREFERENCIA_FLAG,RANGO_LEY_TERCIO) VALUES('mrtr',1425,'B4',,,,1,,NULL,NULL,16);</v>
      </c>
    </row>
    <row r="68" spans="1:1" x14ac:dyDescent="0.25">
      <c r="A68" t="str">
        <f>$A$1&amp;'MR Gigaloterias'!A68&amp;",'"&amp;'MR Gigaloterias'!B68&amp;"',"&amp;'MR Gigaloterias'!C68&amp;","&amp;'MR Gigaloterias'!D68&amp;","&amp;'MR Gigaloterias'!E68&amp;","&amp;'MR Gigaloterias'!F68&amp;","&amp;'MR Gigaloterias'!G68&amp;","&amp;IF(('MR Gigaloterias'!H68)="","NULL",('MR Gigaloterias'!H68))&amp;","&amp;IF(('MR Gigaloterias'!I68)="","NULL","'"&amp;('MR Gigaloterias'!I68)&amp;"'")&amp;","&amp;IF(('MR Gigaloterias'!J68)="","NULL",('MR Gigaloterias'!J68))&amp;");"</f>
        <v>INSERT INTO OLAP_SYS.S_CALCULO_STATS (DRAWING_TYPE,DRAWING_ID,B_TYPE,DIGIT,COLOR_UBICACION,UBICACION,LEY_TERCIO,CICLO_APARICION,PRONOS_CICLO,PREFERENCIA_FLAG,RANGO_LEY_TERCIO) VALUES('mrtr',1425,'B4',,,,1,,NULL,NULL,17);</v>
      </c>
    </row>
    <row r="69" spans="1:1" x14ac:dyDescent="0.25">
      <c r="A69" t="str">
        <f>$A$1&amp;'MR Gigaloterias'!A69&amp;",'"&amp;'MR Gigaloterias'!B69&amp;"',"&amp;'MR Gigaloterias'!C69&amp;","&amp;'MR Gigaloterias'!D69&amp;","&amp;'MR Gigaloterias'!E69&amp;","&amp;'MR Gigaloterias'!F69&amp;","&amp;'MR Gigaloterias'!G69&amp;","&amp;IF(('MR Gigaloterias'!H69)="","NULL",('MR Gigaloterias'!H69))&amp;","&amp;IF(('MR Gigaloterias'!I69)="","NULL","'"&amp;('MR Gigaloterias'!I69)&amp;"'")&amp;","&amp;IF(('MR Gigaloterias'!J69)="","NULL",('MR Gigaloterias'!J69))&amp;");"</f>
        <v>INSERT INTO OLAP_SYS.S_CALCULO_STATS (DRAWING_TYPE,DRAWING_ID,B_TYPE,DIGIT,COLOR_UBICACION,UBICACION,LEY_TERCIO,CICLO_APARICION,PRONOS_CICLO,PREFERENCIA_FLAG,RANGO_LEY_TERCIO) VALUES('mrtr',1425,'B4',,,,1,,NULL,NULL,18);</v>
      </c>
    </row>
    <row r="70" spans="1:1" x14ac:dyDescent="0.25">
      <c r="A70" t="str">
        <f>$A$1&amp;'MR Gigaloterias'!A70&amp;",'"&amp;'MR Gigaloterias'!B70&amp;"',"&amp;'MR Gigaloterias'!C70&amp;","&amp;'MR Gigaloterias'!D70&amp;","&amp;'MR Gigaloterias'!E70&amp;","&amp;'MR Gigaloterias'!F70&amp;","&amp;'MR Gigaloterias'!G70&amp;","&amp;IF(('MR Gigaloterias'!H70)="","NULL",('MR Gigaloterias'!H70))&amp;","&amp;IF(('MR Gigaloterias'!I70)="","NULL","'"&amp;('MR Gigaloterias'!I70)&amp;"'")&amp;","&amp;IF(('MR Gigaloterias'!J70)="","NULL",('MR Gigaloterias'!J70))&amp;");"</f>
        <v>INSERT INTO OLAP_SYS.S_CALCULO_STATS (DRAWING_TYPE,DRAWING_ID,B_TYPE,DIGIT,COLOR_UBICACION,UBICACION,LEY_TERCIO,CICLO_APARICION,PRONOS_CICLO,PREFERENCIA_FLAG,RANGO_LEY_TERCIO) VALUES('mrtr',1425,'B4',,,,1,,NULL,NULL,19);</v>
      </c>
    </row>
    <row r="71" spans="1:1" x14ac:dyDescent="0.25">
      <c r="A71" t="str">
        <f>$A$1&amp;'MR Gigaloterias'!A71&amp;",'"&amp;'MR Gigaloterias'!B71&amp;"',"&amp;'MR Gigaloterias'!C71&amp;","&amp;'MR Gigaloterias'!D71&amp;","&amp;'MR Gigaloterias'!E71&amp;","&amp;'MR Gigaloterias'!F71&amp;","&amp;'MR Gigaloterias'!G71&amp;","&amp;IF(('MR Gigaloterias'!H71)="","NULL",('MR Gigaloterias'!H71))&amp;","&amp;IF(('MR Gigaloterias'!I71)="","NULL","'"&amp;('MR Gigaloterias'!I71)&amp;"'")&amp;","&amp;IF(('MR Gigaloterias'!J71)="","NULL",('MR Gigaloterias'!J71))&amp;");"</f>
        <v>INSERT INTO OLAP_SYS.S_CALCULO_STATS (DRAWING_TYPE,DRAWING_ID,B_TYPE,DIGIT,COLOR_UBICACION,UBICACION,LEY_TERCIO,CICLO_APARICION,PRONOS_CICLO,PREFERENCIA_FLAG,RANGO_LEY_TERCIO) VALUES('mrtr',1425,'B5',31,1,11,2,7,NULL,'X',1);</v>
      </c>
    </row>
    <row r="72" spans="1:1" x14ac:dyDescent="0.25">
      <c r="A72" t="str">
        <f>$A$1&amp;'MR Gigaloterias'!A72&amp;",'"&amp;'MR Gigaloterias'!B72&amp;"',"&amp;'MR Gigaloterias'!C72&amp;","&amp;'MR Gigaloterias'!D72&amp;","&amp;'MR Gigaloterias'!E72&amp;","&amp;'MR Gigaloterias'!F72&amp;","&amp;'MR Gigaloterias'!G72&amp;","&amp;IF(('MR Gigaloterias'!H72)="","NULL",('MR Gigaloterias'!H72))&amp;","&amp;IF(('MR Gigaloterias'!I72)="","NULL","'"&amp;('MR Gigaloterias'!I72)&amp;"'")&amp;","&amp;IF(('MR Gigaloterias'!J72)="","NULL",('MR Gigaloterias'!J72))&amp;");"</f>
        <v>INSERT INTO OLAP_SYS.S_CALCULO_STATS (DRAWING_TYPE,DRAWING_ID,B_TYPE,DIGIT,COLOR_UBICACION,UBICACION,LEY_TERCIO,CICLO_APARICION,PRONOS_CICLO,PREFERENCIA_FLAG,RANGO_LEY_TERCIO) VALUES('mrtr',1425,'B5',29,1,10,1,9,NULL,'X',2);</v>
      </c>
    </row>
    <row r="73" spans="1:1" x14ac:dyDescent="0.25">
      <c r="A73" t="str">
        <f>$A$1&amp;'MR Gigaloterias'!A73&amp;",'"&amp;'MR Gigaloterias'!B73&amp;"',"&amp;'MR Gigaloterias'!C73&amp;","&amp;'MR Gigaloterias'!D73&amp;","&amp;'MR Gigaloterias'!E73&amp;","&amp;'MR Gigaloterias'!F73&amp;","&amp;'MR Gigaloterias'!G73&amp;","&amp;IF(('MR Gigaloterias'!H73)="","NULL",('MR Gigaloterias'!H73))&amp;","&amp;IF(('MR Gigaloterias'!I73)="","NULL","'"&amp;('MR Gigaloterias'!I73)&amp;"'")&amp;","&amp;IF(('MR Gigaloterias'!J73)="","NULL",('MR Gigaloterias'!J73))&amp;");"</f>
        <v>INSERT INTO OLAP_SYS.S_CALCULO_STATS (DRAWING_TYPE,DRAWING_ID,B_TYPE,DIGIT,COLOR_UBICACION,UBICACION,LEY_TERCIO,CICLO_APARICION,PRONOS_CICLO,PREFERENCIA_FLAG,RANGO_LEY_TERCIO) VALUES('mrtr',1425,'B5',28,1,8,0,11,11,NULL,3);</v>
      </c>
    </row>
    <row r="74" spans="1:1" x14ac:dyDescent="0.25">
      <c r="A74" t="str">
        <f>$A$1&amp;'MR Gigaloterias'!A74&amp;",'"&amp;'MR Gigaloterias'!B74&amp;"',"&amp;'MR Gigaloterias'!C74&amp;","&amp;'MR Gigaloterias'!D74&amp;","&amp;'MR Gigaloterias'!E74&amp;","&amp;'MR Gigaloterias'!F74&amp;","&amp;'MR Gigaloterias'!G74&amp;","&amp;IF(('MR Gigaloterias'!H74)="","NULL",('MR Gigaloterias'!H74))&amp;","&amp;IF(('MR Gigaloterias'!I74)="","NULL","'"&amp;('MR Gigaloterias'!I74)&amp;"'")&amp;","&amp;IF(('MR Gigaloterias'!J74)="","NULL",('MR Gigaloterias'!J74))&amp;");"</f>
        <v>INSERT INTO OLAP_SYS.S_CALCULO_STATS (DRAWING_TYPE,DRAWING_ID,B_TYPE,DIGIT,COLOR_UBICACION,UBICACION,LEY_TERCIO,CICLO_APARICION,PRONOS_CICLO,PREFERENCIA_FLAG,RANGO_LEY_TERCIO) VALUES('mrtr',1425,'B5',24,2,8,0,11,11,NULL,4);</v>
      </c>
    </row>
    <row r="75" spans="1:1" x14ac:dyDescent="0.25">
      <c r="A75" t="str">
        <f>$A$1&amp;'MR Gigaloterias'!A75&amp;",'"&amp;'MR Gigaloterias'!B75&amp;"',"&amp;'MR Gigaloterias'!C75&amp;","&amp;'MR Gigaloterias'!D75&amp;","&amp;'MR Gigaloterias'!E75&amp;","&amp;'MR Gigaloterias'!F75&amp;","&amp;'MR Gigaloterias'!G75&amp;","&amp;IF(('MR Gigaloterias'!H75)="","NULL",('MR Gigaloterias'!H75))&amp;","&amp;IF(('MR Gigaloterias'!I75)="","NULL","'"&amp;('MR Gigaloterias'!I75)&amp;"'")&amp;","&amp;IF(('MR Gigaloterias'!J75)="","NULL",('MR Gigaloterias'!J75))&amp;");"</f>
        <v>INSERT INTO OLAP_SYS.S_CALCULO_STATS (DRAWING_TYPE,DRAWING_ID,B_TYPE,DIGIT,COLOR_UBICACION,UBICACION,LEY_TERCIO,CICLO_APARICION,PRONOS_CICLO,PREFERENCIA_FLAG,RANGO_LEY_TERCIO) VALUES('mrtr',1425,'B5',33,2,7,1,10,NULL,'X',5);</v>
      </c>
    </row>
    <row r="76" spans="1:1" x14ac:dyDescent="0.25">
      <c r="A76" t="str">
        <f>$A$1&amp;'MR Gigaloterias'!A76&amp;",'"&amp;'MR Gigaloterias'!B76&amp;"',"&amp;'MR Gigaloterias'!C76&amp;","&amp;'MR Gigaloterias'!D76&amp;","&amp;'MR Gigaloterias'!E76&amp;","&amp;'MR Gigaloterias'!F76&amp;","&amp;'MR Gigaloterias'!G76&amp;","&amp;IF(('MR Gigaloterias'!H76)="","NULL",('MR Gigaloterias'!H76))&amp;","&amp;IF(('MR Gigaloterias'!I76)="","NULL","'"&amp;('MR Gigaloterias'!I76)&amp;"'")&amp;","&amp;IF(('MR Gigaloterias'!J76)="","NULL",('MR Gigaloterias'!J76))&amp;");"</f>
        <v>INSERT INTO OLAP_SYS.S_CALCULO_STATS (DRAWING_TYPE,DRAWING_ID,B_TYPE,DIGIT,COLOR_UBICACION,UBICACION,LEY_TERCIO,CICLO_APARICION,PRONOS_CICLO,PREFERENCIA_FLAG,RANGO_LEY_TERCIO) VALUES('mrtr',1425,'B5',32,2,6,0,16,16,NULL,6);</v>
      </c>
    </row>
    <row r="77" spans="1:1" x14ac:dyDescent="0.25">
      <c r="A77" t="str">
        <f>$A$1&amp;'MR Gigaloterias'!A77&amp;",'"&amp;'MR Gigaloterias'!B77&amp;"',"&amp;'MR Gigaloterias'!C77&amp;","&amp;'MR Gigaloterias'!D77&amp;","&amp;'MR Gigaloterias'!E77&amp;","&amp;'MR Gigaloterias'!F77&amp;","&amp;'MR Gigaloterias'!G77&amp;","&amp;IF(('MR Gigaloterias'!H77)="","NULL",('MR Gigaloterias'!H77))&amp;","&amp;IF(('MR Gigaloterias'!I77)="","NULL","'"&amp;('MR Gigaloterias'!I77)&amp;"'")&amp;","&amp;IF(('MR Gigaloterias'!J77)="","NULL",('MR Gigaloterias'!J77))&amp;");"</f>
        <v>INSERT INTO OLAP_SYS.S_CALCULO_STATS (DRAWING_TYPE,DRAWING_ID,B_TYPE,DIGIT,COLOR_UBICACION,UBICACION,LEY_TERCIO,CICLO_APARICION,PRONOS_CICLO,PREFERENCIA_FLAG,RANGO_LEY_TERCIO) VALUES('mrtr',1425,'B5',37,3,5,1,15,NULL,'X',7);</v>
      </c>
    </row>
    <row r="78" spans="1:1" x14ac:dyDescent="0.25">
      <c r="A78" t="str">
        <f>$A$1&amp;'MR Gigaloterias'!A78&amp;",'"&amp;'MR Gigaloterias'!B78&amp;"',"&amp;'MR Gigaloterias'!C78&amp;","&amp;'MR Gigaloterias'!D78&amp;","&amp;'MR Gigaloterias'!E78&amp;","&amp;'MR Gigaloterias'!F78&amp;","&amp;'MR Gigaloterias'!G78&amp;","&amp;IF(('MR Gigaloterias'!H78)="","NULL",('MR Gigaloterias'!H78))&amp;","&amp;IF(('MR Gigaloterias'!I78)="","NULL","'"&amp;('MR Gigaloterias'!I78)&amp;"'")&amp;","&amp;IF(('MR Gigaloterias'!J78)="","NULL",('MR Gigaloterias'!J78))&amp;");"</f>
        <v>INSERT INTO OLAP_SYS.S_CALCULO_STATS (DRAWING_TYPE,DRAWING_ID,B_TYPE,DIGIT,COLOR_UBICACION,UBICACION,LEY_TERCIO,CICLO_APARICION,PRONOS_CICLO,PREFERENCIA_FLAG,RANGO_LEY_TERCIO) VALUES('mrtr',1425,'B5',34,3,5,1,7,NULL,NULL,8);</v>
      </c>
    </row>
    <row r="79" spans="1:1" x14ac:dyDescent="0.25">
      <c r="A79" t="str">
        <f>$A$1&amp;'MR Gigaloterias'!A79&amp;",'"&amp;'MR Gigaloterias'!B79&amp;"',"&amp;'MR Gigaloterias'!C79&amp;","&amp;'MR Gigaloterias'!D79&amp;","&amp;'MR Gigaloterias'!E79&amp;","&amp;'MR Gigaloterias'!F79&amp;","&amp;'MR Gigaloterias'!G79&amp;","&amp;IF(('MR Gigaloterias'!H79)="","NULL",('MR Gigaloterias'!H79))&amp;","&amp;IF(('MR Gigaloterias'!I79)="","NULL","'"&amp;('MR Gigaloterias'!I79)&amp;"'")&amp;","&amp;IF(('MR Gigaloterias'!J79)="","NULL",('MR Gigaloterias'!J79))&amp;");"</f>
        <v>INSERT INTO OLAP_SYS.S_CALCULO_STATS (DRAWING_TYPE,DRAWING_ID,B_TYPE,DIGIT,COLOR_UBICACION,UBICACION,LEY_TERCIO,CICLO_APARICION,PRONOS_CICLO,PREFERENCIA_FLAG,RANGO_LEY_TERCIO) VALUES('mrtr',1425,'B5',30,3,5,0,17,NULL,NULL,9);</v>
      </c>
    </row>
    <row r="80" spans="1:1" x14ac:dyDescent="0.25">
      <c r="A80" t="str">
        <f>$A$1&amp;'MR Gigaloterias'!A80&amp;",'"&amp;'MR Gigaloterias'!B80&amp;"',"&amp;'MR Gigaloterias'!C80&amp;","&amp;'MR Gigaloterias'!D80&amp;","&amp;'MR Gigaloterias'!E80&amp;","&amp;'MR Gigaloterias'!F80&amp;","&amp;'MR Gigaloterias'!G80&amp;","&amp;IF(('MR Gigaloterias'!H80)="","NULL",('MR Gigaloterias'!H80))&amp;","&amp;IF(('MR Gigaloterias'!I80)="","NULL","'"&amp;('MR Gigaloterias'!I80)&amp;"'")&amp;","&amp;IF(('MR Gigaloterias'!J80)="","NULL",('MR Gigaloterias'!J80))&amp;");"</f>
        <v>INSERT INTO OLAP_SYS.S_CALCULO_STATS (DRAWING_TYPE,DRAWING_ID,B_TYPE,DIGIT,COLOR_UBICACION,UBICACION,LEY_TERCIO,CICLO_APARICION,PRONOS_CICLO,PREFERENCIA_FLAG,RANGO_LEY_TERCIO) VALUES('mrtr',1425,'B5',27,3,5,1,19,NULL,'X',10);</v>
      </c>
    </row>
    <row r="81" spans="1:1" x14ac:dyDescent="0.25">
      <c r="A81" t="str">
        <f>$A$1&amp;'MR Gigaloterias'!A81&amp;",'"&amp;'MR Gigaloterias'!B81&amp;"',"&amp;'MR Gigaloterias'!C81&amp;","&amp;'MR Gigaloterias'!D81&amp;","&amp;'MR Gigaloterias'!E81&amp;","&amp;'MR Gigaloterias'!F81&amp;","&amp;'MR Gigaloterias'!G81&amp;","&amp;IF(('MR Gigaloterias'!H81)="","NULL",('MR Gigaloterias'!H81))&amp;","&amp;IF(('MR Gigaloterias'!I81)="","NULL","'"&amp;('MR Gigaloterias'!I81)&amp;"'")&amp;","&amp;IF(('MR Gigaloterias'!J81)="","NULL",('MR Gigaloterias'!J81))&amp;");"</f>
        <v>INSERT INTO OLAP_SYS.S_CALCULO_STATS (DRAWING_TYPE,DRAWING_ID,B_TYPE,DIGIT,COLOR_UBICACION,UBICACION,LEY_TERCIO,CICLO_APARICION,PRONOS_CICLO,PREFERENCIA_FLAG,RANGO_LEY_TERCIO) VALUES('mrtr',1425,'B5',26,3,4,0,22,22,NULL,11);</v>
      </c>
    </row>
    <row r="82" spans="1:1" x14ac:dyDescent="0.25">
      <c r="A82" t="str">
        <f>$A$1&amp;'MR Gigaloterias'!A82&amp;",'"&amp;'MR Gigaloterias'!B82&amp;"',"&amp;'MR Gigaloterias'!C82&amp;","&amp;'MR Gigaloterias'!D82&amp;","&amp;'MR Gigaloterias'!E82&amp;","&amp;'MR Gigaloterias'!F82&amp;","&amp;'MR Gigaloterias'!G82&amp;","&amp;IF(('MR Gigaloterias'!H82)="","NULL",('MR Gigaloterias'!H82))&amp;","&amp;IF(('MR Gigaloterias'!I82)="","NULL","'"&amp;('MR Gigaloterias'!I82)&amp;"'")&amp;","&amp;IF(('MR Gigaloterias'!J82)="","NULL",('MR Gigaloterias'!J82))&amp;");"</f>
        <v>INSERT INTO OLAP_SYS.S_CALCULO_STATS (DRAWING_TYPE,DRAWING_ID,B_TYPE,DIGIT,COLOR_UBICACION,UBICACION,LEY_TERCIO,CICLO_APARICION,PRONOS_CICLO,PREFERENCIA_FLAG,RANGO_LEY_TERCIO) VALUES('mrtr',1425,'B5',,3,,1,,NULL,NULL,12);</v>
      </c>
    </row>
    <row r="83" spans="1:1" x14ac:dyDescent="0.25">
      <c r="A83" t="str">
        <f>$A$1&amp;'MR Gigaloterias'!A83&amp;",'"&amp;'MR Gigaloterias'!B83&amp;"',"&amp;'MR Gigaloterias'!C83&amp;","&amp;'MR Gigaloterias'!D83&amp;","&amp;'MR Gigaloterias'!E83&amp;","&amp;'MR Gigaloterias'!F83&amp;","&amp;'MR Gigaloterias'!G83&amp;","&amp;IF(('MR Gigaloterias'!H83)="","NULL",('MR Gigaloterias'!H83))&amp;","&amp;IF(('MR Gigaloterias'!I83)="","NULL","'"&amp;('MR Gigaloterias'!I83)&amp;"'")&amp;","&amp;IF(('MR Gigaloterias'!J83)="","NULL",('MR Gigaloterias'!J83))&amp;");"</f>
        <v>INSERT INTO OLAP_SYS.S_CALCULO_STATS (DRAWING_TYPE,DRAWING_ID,B_TYPE,DIGIT,COLOR_UBICACION,UBICACION,LEY_TERCIO,CICLO_APARICION,PRONOS_CICLO,PREFERENCIA_FLAG,RANGO_LEY_TERCIO) VALUES('mrtr',1425,'B5',,3,,1,,NULL,NULL,13);</v>
      </c>
    </row>
    <row r="84" spans="1:1" x14ac:dyDescent="0.25">
      <c r="A84" t="str">
        <f>$A$1&amp;'MR Gigaloterias'!A84&amp;",'"&amp;'MR Gigaloterias'!B84&amp;"',"&amp;'MR Gigaloterias'!C84&amp;","&amp;'MR Gigaloterias'!D84&amp;","&amp;'MR Gigaloterias'!E84&amp;","&amp;'MR Gigaloterias'!F84&amp;","&amp;'MR Gigaloterias'!G84&amp;","&amp;IF(('MR Gigaloterias'!H84)="","NULL",('MR Gigaloterias'!H84))&amp;","&amp;IF(('MR Gigaloterias'!I84)="","NULL","'"&amp;('MR Gigaloterias'!I84)&amp;"'")&amp;","&amp;IF(('MR Gigaloterias'!J84)="","NULL",('MR Gigaloterias'!J84))&amp;");"</f>
        <v>INSERT INTO OLAP_SYS.S_CALCULO_STATS (DRAWING_TYPE,DRAWING_ID,B_TYPE,DIGIT,COLOR_UBICACION,UBICACION,LEY_TERCIO,CICLO_APARICION,PRONOS_CICLO,PREFERENCIA_FLAG,RANGO_LEY_TERCIO) VALUES('mrtr',1425,'B5',,3,,1,,NULL,NULL,14);</v>
      </c>
    </row>
    <row r="85" spans="1:1" x14ac:dyDescent="0.25">
      <c r="A85" t="str">
        <f>$A$1&amp;'MR Gigaloterias'!A86&amp;",'"&amp;'MR Gigaloterias'!B86&amp;"',"&amp;'MR Gigaloterias'!C86&amp;","&amp;'MR Gigaloterias'!D86&amp;","&amp;'MR Gigaloterias'!E86&amp;","&amp;'MR Gigaloterias'!F86&amp;","&amp;'MR Gigaloterias'!G86&amp;","&amp;IF(('MR Gigaloterias'!H86)="","NULL",('MR Gigaloterias'!H86))&amp;","&amp;IF(('MR Gigaloterias'!I86)="","NULL","'"&amp;('MR Gigaloterias'!I86)&amp;"'")&amp;","&amp;IF(('MR Gigaloterias'!J86)="","NULL",('MR Gigaloterias'!J86))&amp;");"</f>
        <v>INSERT INTO OLAP_SYS.S_CALCULO_STATS (DRAWING_TYPE,DRAWING_ID,B_TYPE,DIGIT,COLOR_UBICACION,UBICACION,LEY_TERCIO,CICLO_APARICION,PRONOS_CICLO,PREFERENCIA_FLAG,RANGO_LEY_TERCIO) VALUES('mrtr',1425,'B6',39,1,20,5,3,NULL,NULL,1);</v>
      </c>
    </row>
    <row r="86" spans="1:1" x14ac:dyDescent="0.25">
      <c r="A86" t="str">
        <f>$A$1&amp;'MR Gigaloterias'!A87&amp;",'"&amp;'MR Gigaloterias'!B87&amp;"',"&amp;'MR Gigaloterias'!C87&amp;","&amp;'MR Gigaloterias'!D87&amp;","&amp;'MR Gigaloterias'!E87&amp;","&amp;'MR Gigaloterias'!F87&amp;","&amp;'MR Gigaloterias'!G87&amp;","&amp;IF(('MR Gigaloterias'!H87)="","NULL",('MR Gigaloterias'!H87))&amp;","&amp;IF(('MR Gigaloterias'!I87)="","NULL","'"&amp;('MR Gigaloterias'!I87)&amp;"'")&amp;","&amp;IF(('MR Gigaloterias'!J87)="","NULL",('MR Gigaloterias'!J87))&amp;");"</f>
        <v>INSERT INTO OLAP_SYS.S_CALCULO_STATS (DRAWING_TYPE,DRAWING_ID,B_TYPE,DIGIT,COLOR_UBICACION,UBICACION,LEY_TERCIO,CICLO_APARICION,PRONOS_CICLO,PREFERENCIA_FLAG,RANGO_LEY_TERCIO) VALUES('mrtr',1425,'B6',38,1,12,1,7,NULL,'X',2);</v>
      </c>
    </row>
    <row r="87" spans="1:1" x14ac:dyDescent="0.25">
      <c r="A87" t="str">
        <f>$A$1&amp;'MR Gigaloterias'!A88&amp;",'"&amp;'MR Gigaloterias'!B88&amp;"',"&amp;'MR Gigaloterias'!C88&amp;","&amp;'MR Gigaloterias'!D88&amp;","&amp;'MR Gigaloterias'!E88&amp;","&amp;'MR Gigaloterias'!F88&amp;","&amp;'MR Gigaloterias'!G88&amp;","&amp;IF(('MR Gigaloterias'!H88)="","NULL",('MR Gigaloterias'!H88))&amp;","&amp;IF(('MR Gigaloterias'!I88)="","NULL","'"&amp;('MR Gigaloterias'!I88)&amp;"'")&amp;","&amp;IF(('MR Gigaloterias'!J88)="","NULL",('MR Gigaloterias'!J88))&amp;");"</f>
        <v>INSERT INTO OLAP_SYS.S_CALCULO_STATS (DRAWING_TYPE,DRAWING_ID,B_TYPE,DIGIT,COLOR_UBICACION,UBICACION,LEY_TERCIO,CICLO_APARICION,PRONOS_CICLO,PREFERENCIA_FLAG,RANGO_LEY_TERCIO) VALUES('mrtr',1425,'B6',36,2,12,1,6,NULL,'X',3);</v>
      </c>
    </row>
    <row r="88" spans="1:1" x14ac:dyDescent="0.25">
      <c r="A88" t="str">
        <f>$A$1&amp;'MR Gigaloterias'!A89&amp;",'"&amp;'MR Gigaloterias'!B89&amp;"',"&amp;'MR Gigaloterias'!C89&amp;","&amp;'MR Gigaloterias'!D89&amp;","&amp;'MR Gigaloterias'!E89&amp;","&amp;'MR Gigaloterias'!F89&amp;","&amp;'MR Gigaloterias'!G89&amp;","&amp;IF(('MR Gigaloterias'!H89)="","NULL",('MR Gigaloterias'!H89))&amp;","&amp;IF(('MR Gigaloterias'!I89)="","NULL","'"&amp;('MR Gigaloterias'!I89)&amp;"'")&amp;","&amp;IF(('MR Gigaloterias'!J89)="","NULL",('MR Gigaloterias'!J89))&amp;");"</f>
        <v>INSERT INTO OLAP_SYS.S_CALCULO_STATS (DRAWING_TYPE,DRAWING_ID,B_TYPE,DIGIT,COLOR_UBICACION,UBICACION,LEY_TERCIO,CICLO_APARICION,PRONOS_CICLO,PREFERENCIA_FLAG,RANGO_LEY_TERCIO) VALUES('mrtr',1425,'B6',37,2,8,0,11,11,NULL,4);</v>
      </c>
    </row>
    <row r="89" spans="1:1" x14ac:dyDescent="0.25">
      <c r="A89" t="str">
        <f>$A$1&amp;'MR Gigaloterias'!A90&amp;",'"&amp;'MR Gigaloterias'!B90&amp;"',"&amp;'MR Gigaloterias'!C90&amp;","&amp;'MR Gigaloterias'!D90&amp;","&amp;'MR Gigaloterias'!E90&amp;","&amp;'MR Gigaloterias'!F90&amp;","&amp;'MR Gigaloterias'!G90&amp;","&amp;IF(('MR Gigaloterias'!H90)="","NULL",('MR Gigaloterias'!H90))&amp;","&amp;IF(('MR Gigaloterias'!I90)="","NULL","'"&amp;('MR Gigaloterias'!I90)&amp;"'")&amp;","&amp;IF(('MR Gigaloterias'!J90)="","NULL",('MR Gigaloterias'!J90))&amp;");"</f>
        <v>INSERT INTO OLAP_SYS.S_CALCULO_STATS (DRAWING_TYPE,DRAWING_ID,B_TYPE,DIGIT,COLOR_UBICACION,UBICACION,LEY_TERCIO,CICLO_APARICION,PRONOS_CICLO,PREFERENCIA_FLAG,RANGO_LEY_TERCIO) VALUES('mrtr',1425,'B6',35,3,7,0,11,11,NULL,5);</v>
      </c>
    </row>
    <row r="90" spans="1:1" x14ac:dyDescent="0.25">
      <c r="A90" t="str">
        <f>$A$1&amp;'MR Gigaloterias'!A91&amp;",'"&amp;'MR Gigaloterias'!B91&amp;"',"&amp;'MR Gigaloterias'!C91&amp;","&amp;'MR Gigaloterias'!D91&amp;","&amp;'MR Gigaloterias'!E91&amp;","&amp;'MR Gigaloterias'!F91&amp;","&amp;'MR Gigaloterias'!G91&amp;","&amp;IF(('MR Gigaloterias'!H91)="","NULL",('MR Gigaloterias'!H91))&amp;","&amp;IF(('MR Gigaloterias'!I91)="","NULL","'"&amp;('MR Gigaloterias'!I91)&amp;"'")&amp;","&amp;IF(('MR Gigaloterias'!J91)="","NULL",('MR Gigaloterias'!J91))&amp;");"</f>
        <v>INSERT INTO OLAP_SYS.S_CALCULO_STATS (DRAWING_TYPE,DRAWING_ID,B_TYPE,DIGIT,COLOR_UBICACION,UBICACION,LEY_TERCIO,CICLO_APARICION,PRONOS_CICLO,PREFERENCIA_FLAG,RANGO_LEY_TERCIO) VALUES('mrtr',1425,'B6',33,3,7,0,8,8,NULL,6);</v>
      </c>
    </row>
    <row r="91" spans="1:1" x14ac:dyDescent="0.25">
      <c r="A91" t="str">
        <f>$A$1&amp;'MR Gigaloterias'!A92&amp;",'"&amp;'MR Gigaloterias'!B92&amp;"',"&amp;'MR Gigaloterias'!C92&amp;","&amp;'MR Gigaloterias'!D92&amp;","&amp;'MR Gigaloterias'!E92&amp;","&amp;'MR Gigaloterias'!F92&amp;","&amp;'MR Gigaloterias'!G92&amp;","&amp;IF(('MR Gigaloterias'!H92)="","NULL",('MR Gigaloterias'!H92))&amp;","&amp;IF(('MR Gigaloterias'!I92)="","NULL","'"&amp;('MR Gigaloterias'!I92)&amp;"'")&amp;","&amp;IF(('MR Gigaloterias'!J92)="","NULL",('MR Gigaloterias'!J92))&amp;");"</f>
        <v>INSERT INTO OLAP_SYS.S_CALCULO_STATS (DRAWING_TYPE,DRAWING_ID,B_TYPE,DIGIT,COLOR_UBICACION,UBICACION,LEY_TERCIO,CICLO_APARICION,PRONOS_CICLO,PREFERENCIA_FLAG,RANGO_LEY_TERCIO) VALUES('mrtr',1425,'B6',32,3,7,0,12,12,'X',7);</v>
      </c>
    </row>
    <row r="92" spans="1:1" x14ac:dyDescent="0.25">
      <c r="A92" t="str">
        <f>$A$1&amp;'MR Gigaloterias'!A93&amp;",'"&amp;'MR Gigaloterias'!B93&amp;"',"&amp;'MR Gigaloterias'!C93&amp;","&amp;'MR Gigaloterias'!D93&amp;","&amp;'MR Gigaloterias'!E93&amp;","&amp;'MR Gigaloterias'!F93&amp;","&amp;'MR Gigaloterias'!G93&amp;","&amp;IF(('MR Gigaloterias'!H93)="","NULL",('MR Gigaloterias'!H93))&amp;","&amp;IF(('MR Gigaloterias'!I93)="","NULL","'"&amp;('MR Gigaloterias'!I93)&amp;"'")&amp;","&amp;IF(('MR Gigaloterias'!J93)="","NULL",('MR Gigaloterias'!J93))&amp;");"</f>
        <v>INSERT INTO OLAP_SYS.S_CALCULO_STATS (DRAWING_TYPE,DRAWING_ID,B_TYPE,DIGIT,COLOR_UBICACION,UBICACION,LEY_TERCIO,CICLO_APARICION,PRONOS_CICLO,PREFERENCIA_FLAG,RANGO_LEY_TERCIO) VALUES('mrtr',1425,'B6',34,3,6,1,15,NULL,'X',8);</v>
      </c>
    </row>
    <row r="93" spans="1:1" x14ac:dyDescent="0.25">
      <c r="A93" t="str">
        <f>$A$1&amp;'MR Gigaloterias'!A94&amp;",'"&amp;'MR Gigaloterias'!B94&amp;"',"&amp;'MR Gigaloterias'!C94&amp;","&amp;'MR Gigaloterias'!D94&amp;","&amp;'MR Gigaloterias'!E94&amp;","&amp;'MR Gigaloterias'!F94&amp;","&amp;'MR Gigaloterias'!G94&amp;","&amp;IF(('MR Gigaloterias'!H94)="","NULL",('MR Gigaloterias'!H94))&amp;","&amp;IF(('MR Gigaloterias'!I94)="","NULL","'"&amp;('MR Gigaloterias'!I94)&amp;"'")&amp;","&amp;IF(('MR Gigaloterias'!J94)="","NULL",('MR Gigaloterias'!J94))&amp;");"</f>
        <v>INSERT INTO OLAP_SYS.S_CALCULO_STATS (DRAWING_TYPE,DRAWING_ID,B_TYPE,DIGIT,COLOR_UBICACION,UBICACION,LEY_TERCIO,CICLO_APARICION,PRONOS_CICLO,PREFERENCIA_FLAG,RANGO_LEY_TERCIO) VALUES('mrtr',1425,'B6',,3,,0,,NULL,NULL,9);</v>
      </c>
    </row>
    <row r="94" spans="1:1" x14ac:dyDescent="0.25">
      <c r="A94" t="str">
        <f>$A$1&amp;'MR Gigaloterias'!A95&amp;",'"&amp;'MR Gigaloterias'!B95&amp;"',"&amp;'MR Gigaloterias'!C95&amp;","&amp;'MR Gigaloterias'!D95&amp;","&amp;'MR Gigaloterias'!E95&amp;","&amp;'MR Gigaloterias'!F95&amp;","&amp;'MR Gigaloterias'!G95&amp;","&amp;IF(('MR Gigaloterias'!H95)="","NULL",('MR Gigaloterias'!H95))&amp;","&amp;IF(('MR Gigaloterias'!I95)="","NULL","'"&amp;('MR Gigaloterias'!I95)&amp;"'")&amp;","&amp;IF(('MR Gigaloterias'!J95)="","NULL",('MR Gigaloterias'!J95))&amp;");"</f>
        <v>INSERT INTO OLAP_SYS.S_CALCULO_STATS (DRAWING_TYPE,DRAWING_ID,B_TYPE,DIGIT,COLOR_UBICACION,UBICACION,LEY_TERCIO,CICLO_APARICION,PRONOS_CICLO,PREFERENCIA_FLAG,RANGO_LEY_TERCIO) VALUES('mrtr',1425,'B6',,3,,0,,NULL,NULL,10);</v>
      </c>
    </row>
    <row r="95" spans="1:1" x14ac:dyDescent="0.25">
      <c r="A95" t="str">
        <f>$A$1&amp;'MR Gigaloterias'!A96&amp;",'"&amp;'MR Gigaloterias'!B96&amp;"',"&amp;'MR Gigaloterias'!C96&amp;","&amp;'MR Gigaloterias'!D96&amp;","&amp;'MR Gigaloterias'!E96&amp;","&amp;'MR Gigaloterias'!F96&amp;","&amp;'MR Gigaloterias'!G96&amp;","&amp;IF(('MR Gigaloterias'!H96)="","NULL",('MR Gigaloterias'!H96))&amp;","&amp;IF(('MR Gigaloterias'!I96)="","NULL","'"&amp;('MR Gigaloterias'!I96)&amp;"'")&amp;","&amp;IF(('MR Gigaloterias'!J96)="","NULL",('MR Gigaloterias'!J96))&amp;");"</f>
        <v>INSERT INTO OLAP_SYS.S_CALCULO_STATS (DRAWING_TYPE,DRAWING_ID,B_TYPE,DIGIT,COLOR_UBICACION,UBICACION,LEY_TERCIO,CICLO_APARICION,PRONOS_CICLO,PREFERENCIA_FLAG,RANGO_LEY_TERCIO) VALUES('mrtr',1425,'B6',,3,,0,,NULL,NULL,11);</v>
      </c>
    </row>
    <row r="96" spans="1:1" x14ac:dyDescent="0.25">
      <c r="A96" t="s">
        <v>26</v>
      </c>
    </row>
  </sheetData>
  <pageMargins left="0.7" right="0.7" top="0.75" bottom="0.75" header="0.3" footer="0.3"/>
  <pageSetup orientation="portrait" horizontalDpi="429496729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1E3C0-EB05-411C-9B40-438A1E7BEA48}">
  <sheetPr codeName="Sheet5"/>
  <dimension ref="A1:M100"/>
  <sheetViews>
    <sheetView tabSelected="1" topLeftCell="A18" workbookViewId="0">
      <selection activeCell="M8" sqref="M8:M47"/>
    </sheetView>
  </sheetViews>
  <sheetFormatPr defaultRowHeight="15" x14ac:dyDescent="0.25"/>
  <cols>
    <col min="1" max="1" width="10.7109375" style="5" bestFit="1" customWidth="1"/>
    <col min="2" max="2" width="11.5703125" bestFit="1" customWidth="1"/>
    <col min="3" max="4" width="12.5703125" bestFit="1" customWidth="1"/>
    <col min="5" max="7" width="11.5703125" bestFit="1" customWidth="1"/>
    <col min="8" max="9" width="16.42578125" style="5" bestFit="1" customWidth="1"/>
    <col min="10" max="10" width="11.7109375" style="15" bestFit="1" customWidth="1"/>
    <col min="13" max="13" width="242.5703125" bestFit="1" customWidth="1"/>
  </cols>
  <sheetData>
    <row r="1" spans="1:13" x14ac:dyDescent="0.25">
      <c r="M1" t="s">
        <v>93</v>
      </c>
    </row>
    <row r="2" spans="1:13" x14ac:dyDescent="0.25">
      <c r="B2" s="41"/>
      <c r="C2" s="41"/>
      <c r="D2" s="41"/>
      <c r="E2" s="41"/>
      <c r="F2" s="41"/>
      <c r="G2" s="41"/>
      <c r="H2" s="41"/>
    </row>
    <row r="3" spans="1:13" x14ac:dyDescent="0.25">
      <c r="A3" s="30" t="s">
        <v>94</v>
      </c>
      <c r="I3" s="31"/>
      <c r="J3" s="32" t="s">
        <v>95</v>
      </c>
    </row>
    <row r="4" spans="1:13" ht="15.75" thickBot="1" x14ac:dyDescent="0.3">
      <c r="A4" s="29" t="s">
        <v>123</v>
      </c>
      <c r="I4" s="29"/>
    </row>
    <row r="5" spans="1:13" ht="15.75" thickBot="1" x14ac:dyDescent="0.3">
      <c r="A5" s="34"/>
      <c r="B5" s="33" t="s">
        <v>96</v>
      </c>
      <c r="C5" s="33" t="s">
        <v>97</v>
      </c>
      <c r="D5" s="33" t="s">
        <v>98</v>
      </c>
      <c r="E5" s="33" t="s">
        <v>96</v>
      </c>
      <c r="F5" s="33" t="s">
        <v>99</v>
      </c>
      <c r="G5" s="33" t="s">
        <v>100</v>
      </c>
    </row>
    <row r="6" spans="1:13" ht="15.75" thickBot="1" x14ac:dyDescent="0.3">
      <c r="A6" s="34"/>
      <c r="B6" s="35" t="s">
        <v>101</v>
      </c>
      <c r="C6" s="35" t="s">
        <v>102</v>
      </c>
      <c r="D6" s="35" t="s">
        <v>103</v>
      </c>
      <c r="E6" s="35" t="s">
        <v>101</v>
      </c>
      <c r="F6" s="35" t="s">
        <v>104</v>
      </c>
      <c r="G6" s="35" t="s">
        <v>105</v>
      </c>
    </row>
    <row r="7" spans="1:13" x14ac:dyDescent="0.25">
      <c r="A7" s="36" t="s">
        <v>106</v>
      </c>
      <c r="B7" s="37" t="s">
        <v>83</v>
      </c>
      <c r="C7" s="37" t="s">
        <v>84</v>
      </c>
      <c r="D7" s="37" t="s">
        <v>85</v>
      </c>
      <c r="E7" s="37" t="s">
        <v>86</v>
      </c>
      <c r="F7" s="37" t="s">
        <v>87</v>
      </c>
      <c r="G7" s="37" t="s">
        <v>88</v>
      </c>
      <c r="H7" s="37" t="s">
        <v>107</v>
      </c>
      <c r="I7" s="37" t="s">
        <v>108</v>
      </c>
      <c r="J7" s="38" t="s">
        <v>109</v>
      </c>
    </row>
    <row r="8" spans="1:13" x14ac:dyDescent="0.25">
      <c r="A8" s="40" t="s">
        <v>154</v>
      </c>
      <c r="B8" s="10" t="s">
        <v>113</v>
      </c>
      <c r="C8" s="10" t="s">
        <v>114</v>
      </c>
      <c r="D8" s="10" t="s">
        <v>110</v>
      </c>
      <c r="E8" s="10" t="s">
        <v>114</v>
      </c>
      <c r="F8" s="10" t="s">
        <v>113</v>
      </c>
      <c r="G8" s="10" t="s">
        <v>114</v>
      </c>
      <c r="H8" s="40" t="s">
        <v>158</v>
      </c>
      <c r="I8" s="40" t="s">
        <v>157</v>
      </c>
      <c r="J8" s="10">
        <v>1425</v>
      </c>
      <c r="M8" t="str">
        <f>$M$1&amp;A8&amp;"','DD/MM/YYYY'),'"&amp;B8&amp;"','"&amp;C8&amp;"','"&amp;D8&amp;"','"&amp;E8&amp;"','"&amp;F8&amp;"','"&amp;G8&amp;"','"&amp;H8&amp;"','"&amp;I8&amp;"',"&amp;J8&amp;");"</f>
        <v>INSERT INTO OLAP_SYS.GL_LT_PATTERN_HISTORY (GAMBLING_DATE,POS1,POS2,POS3,POS4,POS5,POS6,ADJUSTMENT_DATE_INI,ADJUSTMENT_DATE_END,GAMBLING_ID) VALUES (TO_DATE('14/15/2024','DD/MM/YYYY'),'B','G','#','G','B','G','03/06/2023','14/05/2024',1425);</v>
      </c>
    </row>
    <row r="9" spans="1:13" x14ac:dyDescent="0.25">
      <c r="A9" s="40" t="s">
        <v>132</v>
      </c>
      <c r="B9" s="10" t="s">
        <v>115</v>
      </c>
      <c r="C9" s="10" t="s">
        <v>114</v>
      </c>
      <c r="D9" s="10" t="s">
        <v>113</v>
      </c>
      <c r="E9" s="10" t="s">
        <v>114</v>
      </c>
      <c r="F9" s="10" t="s">
        <v>113</v>
      </c>
      <c r="G9" s="10" t="s">
        <v>114</v>
      </c>
      <c r="H9" s="40" t="s">
        <v>158</v>
      </c>
      <c r="I9" s="40" t="s">
        <v>157</v>
      </c>
      <c r="J9" s="10">
        <v>1425</v>
      </c>
      <c r="M9" t="str">
        <f t="shared" ref="M9:M50" si="0">$M$1&amp;A9&amp;"','DD/MM/YYYY'),'"&amp;B9&amp;"','"&amp;C9&amp;"','"&amp;D9&amp;"','"&amp;E9&amp;"','"&amp;F9&amp;"','"&amp;G9&amp;"','"&amp;H9&amp;"','"&amp;I9&amp;"',"&amp;J9&amp;");"</f>
        <v>INSERT INTO OLAP_SYS.GL_LT_PATTERN_HISTORY (GAMBLING_DATE,POS1,POS2,POS3,POS4,POS5,POS6,ADJUSTMENT_DATE_INI,ADJUSTMENT_DATE_END,GAMBLING_ID) VALUES (TO_DATE('24/02/2024','DD/MM/YYYY'),'R','G','B','G','B','G','03/06/2023','14/05/2024',1425);</v>
      </c>
    </row>
    <row r="10" spans="1:13" x14ac:dyDescent="0.25">
      <c r="A10" s="40" t="s">
        <v>153</v>
      </c>
      <c r="B10" s="10" t="s">
        <v>113</v>
      </c>
      <c r="C10" s="10" t="s">
        <v>114</v>
      </c>
      <c r="D10" s="10" t="s">
        <v>114</v>
      </c>
      <c r="E10" s="10" t="s">
        <v>114</v>
      </c>
      <c r="F10" s="10" t="s">
        <v>113</v>
      </c>
      <c r="G10" s="10" t="s">
        <v>110</v>
      </c>
      <c r="H10" s="40" t="s">
        <v>158</v>
      </c>
      <c r="I10" s="40" t="s">
        <v>157</v>
      </c>
      <c r="J10" s="10">
        <v>1425</v>
      </c>
      <c r="M10" t="str">
        <f t="shared" si="0"/>
        <v>INSERT INTO OLAP_SYS.GL_LT_PATTERN_HISTORY (GAMBLING_DATE,POS1,POS2,POS3,POS4,POS5,POS6,ADJUSTMENT_DATE_INI,ADJUSTMENT_DATE_END,GAMBLING_ID) VALUES (TO_DATE('13/01/2024','DD/MM/YYYY'),'B','G','G','G','B','#','03/06/2023','14/05/2024',1425);</v>
      </c>
    </row>
    <row r="11" spans="1:13" x14ac:dyDescent="0.25">
      <c r="A11" s="40" t="s">
        <v>135</v>
      </c>
      <c r="B11" s="10" t="s">
        <v>113</v>
      </c>
      <c r="C11" s="10" t="s">
        <v>114</v>
      </c>
      <c r="D11" s="10" t="s">
        <v>110</v>
      </c>
      <c r="E11" s="10" t="s">
        <v>114</v>
      </c>
      <c r="F11" s="10" t="s">
        <v>113</v>
      </c>
      <c r="G11" s="10" t="s">
        <v>114</v>
      </c>
      <c r="H11" s="40" t="s">
        <v>158</v>
      </c>
      <c r="I11" s="40" t="s">
        <v>157</v>
      </c>
      <c r="J11" s="10">
        <v>1425</v>
      </c>
      <c r="M11" t="str">
        <f t="shared" si="0"/>
        <v>INSERT INTO OLAP_SYS.GL_LT_PATTERN_HISTORY (GAMBLING_DATE,POS1,POS2,POS3,POS4,POS5,POS6,ADJUSTMENT_DATE_INI,ADJUSTMENT_DATE_END,GAMBLING_ID) VALUES (TO_DATE('18/11/2023','DD/MM/YYYY'),'B','G','#','G','B','G','03/06/2023','14/05/2024',1425);</v>
      </c>
    </row>
    <row r="12" spans="1:13" x14ac:dyDescent="0.25">
      <c r="A12" s="40" t="s">
        <v>126</v>
      </c>
      <c r="B12" s="10" t="s">
        <v>113</v>
      </c>
      <c r="C12" s="10" t="s">
        <v>114</v>
      </c>
      <c r="D12" s="10" t="s">
        <v>114</v>
      </c>
      <c r="E12" s="10" t="s">
        <v>114</v>
      </c>
      <c r="F12" s="10" t="s">
        <v>114</v>
      </c>
      <c r="G12" s="10" t="s">
        <v>114</v>
      </c>
      <c r="H12" s="40" t="s">
        <v>158</v>
      </c>
      <c r="I12" s="40" t="s">
        <v>157</v>
      </c>
      <c r="J12" s="10">
        <v>1425</v>
      </c>
      <c r="M12" t="str">
        <f t="shared" si="0"/>
        <v>INSERT INTO OLAP_SYS.GL_LT_PATTERN_HISTORY (GAMBLING_DATE,POS1,POS2,POS3,POS4,POS5,POS6,ADJUSTMENT_DATE_INI,ADJUSTMENT_DATE_END,GAMBLING_ID) VALUES (TO_DATE('03/10/2023','DD/MM/YYYY'),'B','G','G','G','G','G','03/06/2023','14/05/2024',1425);</v>
      </c>
    </row>
    <row r="13" spans="1:13" x14ac:dyDescent="0.25">
      <c r="A13" s="40" t="s">
        <v>155</v>
      </c>
      <c r="B13" s="10" t="s">
        <v>113</v>
      </c>
      <c r="C13" s="10" t="s">
        <v>110</v>
      </c>
      <c r="D13" s="10" t="s">
        <v>115</v>
      </c>
      <c r="E13" s="10" t="s">
        <v>114</v>
      </c>
      <c r="F13" s="10" t="s">
        <v>113</v>
      </c>
      <c r="G13" s="10" t="s">
        <v>114</v>
      </c>
      <c r="H13" s="40" t="s">
        <v>158</v>
      </c>
      <c r="I13" s="40" t="s">
        <v>157</v>
      </c>
      <c r="J13" s="10">
        <v>1425</v>
      </c>
      <c r="M13" t="str">
        <f t="shared" si="0"/>
        <v>INSERT INTO OLAP_SYS.GL_LT_PATTERN_HISTORY (GAMBLING_DATE,POS1,POS2,POS3,POS4,POS5,POS6,ADJUSTMENT_DATE_INI,ADJUSTMENT_DATE_END,GAMBLING_ID) VALUES (TO_DATE('09/09/2023','DD/MM/YYYY'),'B','#','R','G','B','G','03/06/2023','14/05/2024',1425);</v>
      </c>
    </row>
    <row r="14" spans="1:13" x14ac:dyDescent="0.25">
      <c r="A14" s="40" t="s">
        <v>150</v>
      </c>
      <c r="B14" s="10" t="s">
        <v>113</v>
      </c>
      <c r="C14" s="10" t="s">
        <v>114</v>
      </c>
      <c r="D14" s="10" t="s">
        <v>113</v>
      </c>
      <c r="E14" s="10" t="s">
        <v>110</v>
      </c>
      <c r="F14" s="10" t="s">
        <v>114</v>
      </c>
      <c r="G14" s="10" t="s">
        <v>115</v>
      </c>
      <c r="H14" s="40" t="s">
        <v>158</v>
      </c>
      <c r="I14" s="40" t="s">
        <v>157</v>
      </c>
      <c r="J14" s="10">
        <v>1425</v>
      </c>
      <c r="M14" t="str">
        <f t="shared" si="0"/>
        <v>INSERT INTO OLAP_SYS.GL_LT_PATTERN_HISTORY (GAMBLING_DATE,POS1,POS2,POS3,POS4,POS5,POS6,ADJUSTMENT_DATE_INI,ADJUSTMENT_DATE_END,GAMBLING_ID) VALUES (TO_DATE('11/05/2024','DD/MM/YYYY'),'B','G','B','#','G','R','03/06/2023','14/05/2024',1425);</v>
      </c>
    </row>
    <row r="15" spans="1:13" x14ac:dyDescent="0.25">
      <c r="A15" s="40" t="s">
        <v>124</v>
      </c>
      <c r="B15" s="10" t="s">
        <v>113</v>
      </c>
      <c r="C15" s="10" t="s">
        <v>114</v>
      </c>
      <c r="D15" s="10" t="s">
        <v>113</v>
      </c>
      <c r="E15" s="10" t="s">
        <v>115</v>
      </c>
      <c r="F15" s="10" t="s">
        <v>114</v>
      </c>
      <c r="G15" s="10" t="s">
        <v>114</v>
      </c>
      <c r="H15" s="40" t="s">
        <v>158</v>
      </c>
      <c r="I15" s="40" t="s">
        <v>157</v>
      </c>
      <c r="J15" s="10">
        <v>1425</v>
      </c>
      <c r="M15" t="str">
        <f t="shared" si="0"/>
        <v>INSERT INTO OLAP_SYS.GL_LT_PATTERN_HISTORY (GAMBLING_DATE,POS1,POS2,POS3,POS4,POS5,POS6,ADJUSTMENT_DATE_INI,ADJUSTMENT_DATE_END,GAMBLING_ID) VALUES (TO_DATE('09/04/2024','DD/MM/YYYY'),'B','G','B','R','G','G','03/06/2023','14/05/2024',1425);</v>
      </c>
    </row>
    <row r="16" spans="1:13" x14ac:dyDescent="0.25">
      <c r="A16" s="40" t="s">
        <v>116</v>
      </c>
      <c r="B16" s="10" t="s">
        <v>113</v>
      </c>
      <c r="C16" s="10" t="s">
        <v>115</v>
      </c>
      <c r="D16" s="10" t="s">
        <v>110</v>
      </c>
      <c r="E16" s="10" t="s">
        <v>113</v>
      </c>
      <c r="F16" s="10" t="s">
        <v>114</v>
      </c>
      <c r="G16" s="10" t="s">
        <v>115</v>
      </c>
      <c r="H16" s="40" t="s">
        <v>158</v>
      </c>
      <c r="I16" s="40" t="s">
        <v>157</v>
      </c>
      <c r="J16" s="10">
        <v>1425</v>
      </c>
      <c r="M16" t="str">
        <f t="shared" si="0"/>
        <v>INSERT INTO OLAP_SYS.GL_LT_PATTERN_HISTORY (GAMBLING_DATE,POS1,POS2,POS3,POS4,POS5,POS6,ADJUSTMENT_DATE_INI,ADJUSTMENT_DATE_END,GAMBLING_ID) VALUES (TO_DATE('07/05/2024','DD/MM/YYYY'),'B','R','#','B','G','R','03/06/2023','14/05/2024',1425);</v>
      </c>
    </row>
    <row r="17" spans="1:13" x14ac:dyDescent="0.25">
      <c r="A17" s="40" t="s">
        <v>117</v>
      </c>
      <c r="B17" s="10" t="s">
        <v>113</v>
      </c>
      <c r="C17" s="10" t="s">
        <v>115</v>
      </c>
      <c r="D17" s="10" t="s">
        <v>115</v>
      </c>
      <c r="E17" s="10" t="s">
        <v>114</v>
      </c>
      <c r="F17" s="10" t="s">
        <v>114</v>
      </c>
      <c r="G17" s="10" t="s">
        <v>115</v>
      </c>
      <c r="H17" s="40" t="s">
        <v>158</v>
      </c>
      <c r="I17" s="40" t="s">
        <v>157</v>
      </c>
      <c r="J17" s="10">
        <v>1425</v>
      </c>
      <c r="M17" t="str">
        <f t="shared" si="0"/>
        <v>INSERT INTO OLAP_SYS.GL_LT_PATTERN_HISTORY (GAMBLING_DATE,POS1,POS2,POS3,POS4,POS5,POS6,ADJUSTMENT_DATE_INI,ADJUSTMENT_DATE_END,GAMBLING_ID) VALUES (TO_DATE('09/03/2024','DD/MM/YYYY'),'B','R','R','G','G','R','03/06/2023','14/05/2024',1425);</v>
      </c>
    </row>
    <row r="18" spans="1:13" x14ac:dyDescent="0.25">
      <c r="A18" s="40" t="s">
        <v>118</v>
      </c>
      <c r="B18" s="10" t="s">
        <v>114</v>
      </c>
      <c r="C18" s="10" t="s">
        <v>114</v>
      </c>
      <c r="D18" s="10" t="s">
        <v>113</v>
      </c>
      <c r="E18" s="10" t="s">
        <v>113</v>
      </c>
      <c r="F18" s="10" t="s">
        <v>110</v>
      </c>
      <c r="G18" s="10" t="s">
        <v>113</v>
      </c>
      <c r="H18" s="40" t="s">
        <v>158</v>
      </c>
      <c r="I18" s="40" t="s">
        <v>157</v>
      </c>
      <c r="J18" s="10">
        <v>1425</v>
      </c>
      <c r="M18" t="str">
        <f t="shared" si="0"/>
        <v>INSERT INTO OLAP_SYS.GL_LT_PATTERN_HISTORY (GAMBLING_DATE,POS1,POS2,POS3,POS4,POS5,POS6,ADJUSTMENT_DATE_INI,ADJUSTMENT_DATE_END,GAMBLING_ID) VALUES (TO_DATE('30/04/2024','DD/MM/YYYY'),'G','G','B','B','#','B','03/06/2023','14/05/2024',1425);</v>
      </c>
    </row>
    <row r="19" spans="1:13" x14ac:dyDescent="0.25">
      <c r="A19" s="40" t="s">
        <v>119</v>
      </c>
      <c r="B19" s="10" t="s">
        <v>114</v>
      </c>
      <c r="C19" s="10" t="s">
        <v>114</v>
      </c>
      <c r="D19" s="10" t="s">
        <v>110</v>
      </c>
      <c r="E19" s="10" t="s">
        <v>113</v>
      </c>
      <c r="F19" s="10" t="s">
        <v>114</v>
      </c>
      <c r="G19" s="10" t="s">
        <v>113</v>
      </c>
      <c r="H19" s="40" t="s">
        <v>158</v>
      </c>
      <c r="I19" s="40" t="s">
        <v>157</v>
      </c>
      <c r="J19" s="10">
        <v>1425</v>
      </c>
      <c r="M19" t="str">
        <f t="shared" si="0"/>
        <v>INSERT INTO OLAP_SYS.GL_LT_PATTERN_HISTORY (GAMBLING_DATE,POS1,POS2,POS3,POS4,POS5,POS6,ADJUSTMENT_DATE_INI,ADJUSTMENT_DATE_END,GAMBLING_ID) VALUES (TO_DATE('20/02/2024','DD/MM/YYYY'),'G','G','#','B','G','B','03/06/2023','14/05/2024',1425);</v>
      </c>
    </row>
    <row r="20" spans="1:13" x14ac:dyDescent="0.25">
      <c r="A20" s="40" t="s">
        <v>120</v>
      </c>
      <c r="B20" s="10" t="s">
        <v>114</v>
      </c>
      <c r="C20" s="10" t="s">
        <v>114</v>
      </c>
      <c r="D20" s="10" t="s">
        <v>114</v>
      </c>
      <c r="E20" s="10" t="s">
        <v>113</v>
      </c>
      <c r="F20" s="10" t="s">
        <v>110</v>
      </c>
      <c r="G20" s="10" t="s">
        <v>113</v>
      </c>
      <c r="H20" s="40" t="s">
        <v>158</v>
      </c>
      <c r="I20" s="40" t="s">
        <v>157</v>
      </c>
      <c r="J20" s="10">
        <v>1425</v>
      </c>
      <c r="M20" t="str">
        <f t="shared" si="0"/>
        <v>INSERT INTO OLAP_SYS.GL_LT_PATTERN_HISTORY (GAMBLING_DATE,POS1,POS2,POS3,POS4,POS5,POS6,ADJUSTMENT_DATE_INI,ADJUSTMENT_DATE_END,GAMBLING_ID) VALUES (TO_DATE('26/09/2023','DD/MM/YYYY'),'G','G','G','B','#','B','03/06/2023','14/05/2024',1425);</v>
      </c>
    </row>
    <row r="21" spans="1:13" x14ac:dyDescent="0.25">
      <c r="A21" s="40" t="s">
        <v>121</v>
      </c>
      <c r="B21" s="10" t="s">
        <v>114</v>
      </c>
      <c r="C21" s="10" t="s">
        <v>113</v>
      </c>
      <c r="D21" s="10" t="s">
        <v>114</v>
      </c>
      <c r="E21" s="10" t="s">
        <v>110</v>
      </c>
      <c r="F21" s="10" t="s">
        <v>113</v>
      </c>
      <c r="G21" s="10" t="s">
        <v>114</v>
      </c>
      <c r="H21" s="40" t="s">
        <v>158</v>
      </c>
      <c r="I21" s="40" t="s">
        <v>157</v>
      </c>
      <c r="J21" s="10">
        <v>1425</v>
      </c>
      <c r="M21" t="str">
        <f t="shared" si="0"/>
        <v>INSERT INTO OLAP_SYS.GL_LT_PATTERN_HISTORY (GAMBLING_DATE,POS1,POS2,POS3,POS4,POS5,POS6,ADJUSTMENT_DATE_INI,ADJUSTMENT_DATE_END,GAMBLING_ID) VALUES (TO_DATE('16/04/2024','DD/MM/YYYY'),'G','B','G','#','B','G','03/06/2023','14/05/2024',1425);</v>
      </c>
    </row>
    <row r="22" spans="1:13" x14ac:dyDescent="0.25">
      <c r="A22" s="40" t="s">
        <v>122</v>
      </c>
      <c r="B22" s="10" t="s">
        <v>114</v>
      </c>
      <c r="C22" s="10" t="s">
        <v>113</v>
      </c>
      <c r="D22" s="10" t="s">
        <v>110</v>
      </c>
      <c r="E22" s="10" t="s">
        <v>110</v>
      </c>
      <c r="F22" s="10" t="s">
        <v>113</v>
      </c>
      <c r="G22" s="10" t="s">
        <v>114</v>
      </c>
      <c r="H22" s="40" t="s">
        <v>158</v>
      </c>
      <c r="I22" s="40" t="s">
        <v>157</v>
      </c>
      <c r="J22" s="10">
        <v>1425</v>
      </c>
      <c r="M22" t="str">
        <f t="shared" si="0"/>
        <v>INSERT INTO OLAP_SYS.GL_LT_PATTERN_HISTORY (GAMBLING_DATE,POS1,POS2,POS3,POS4,POS5,POS6,ADJUSTMENT_DATE_INI,ADJUSTMENT_DATE_END,GAMBLING_ID) VALUES (TO_DATE('19/08/2023','DD/MM/YYYY'),'G','B','#','#','B','G','03/06/2023','14/05/2024',1425);</v>
      </c>
    </row>
    <row r="23" spans="1:13" x14ac:dyDescent="0.25">
      <c r="A23" s="40" t="s">
        <v>129</v>
      </c>
      <c r="B23" s="10" t="s">
        <v>110</v>
      </c>
      <c r="C23" s="10" t="s">
        <v>110</v>
      </c>
      <c r="D23" s="10" t="s">
        <v>113</v>
      </c>
      <c r="E23" s="10" t="s">
        <v>113</v>
      </c>
      <c r="F23" s="10" t="s">
        <v>113</v>
      </c>
      <c r="G23" s="10" t="s">
        <v>113</v>
      </c>
      <c r="H23" s="40" t="s">
        <v>158</v>
      </c>
      <c r="I23" s="40" t="s">
        <v>157</v>
      </c>
      <c r="J23" s="10">
        <v>1425</v>
      </c>
      <c r="M23" t="str">
        <f t="shared" si="0"/>
        <v>INSERT INTO OLAP_SYS.GL_LT_PATTERN_HISTORY (GAMBLING_DATE,POS1,POS2,POS3,POS4,POS5,POS6,ADJUSTMENT_DATE_INI,ADJUSTMENT_DATE_END,GAMBLING_ID) VALUES (TO_DATE('19/03/2024','DD/MM/YYYY'),'#','#','B','B','B','B','03/06/2023','14/05/2024',1425);</v>
      </c>
    </row>
    <row r="24" spans="1:13" x14ac:dyDescent="0.25">
      <c r="A24" s="40" t="s">
        <v>151</v>
      </c>
      <c r="B24" s="10" t="s">
        <v>113</v>
      </c>
      <c r="C24" s="10" t="s">
        <v>110</v>
      </c>
      <c r="D24" s="10" t="s">
        <v>113</v>
      </c>
      <c r="E24" s="10" t="s">
        <v>113</v>
      </c>
      <c r="F24" s="10" t="s">
        <v>113</v>
      </c>
      <c r="G24" s="10" t="s">
        <v>113</v>
      </c>
      <c r="H24" s="40" t="s">
        <v>158</v>
      </c>
      <c r="I24" s="40" t="s">
        <v>157</v>
      </c>
      <c r="J24" s="10">
        <v>1425</v>
      </c>
      <c r="M24" t="str">
        <f t="shared" si="0"/>
        <v>INSERT INTO OLAP_SYS.GL_LT_PATTERN_HISTORY (GAMBLING_DATE,POS1,POS2,POS3,POS4,POS5,POS6,ADJUSTMENT_DATE_INI,ADJUSTMENT_DATE_END,GAMBLING_ID) VALUES (TO_DATE('16/12/2023','DD/MM/YYYY'),'B','#','B','B','B','B','03/06/2023','14/05/2024',1425);</v>
      </c>
    </row>
    <row r="25" spans="1:13" x14ac:dyDescent="0.25">
      <c r="A25" s="40" t="s">
        <v>130</v>
      </c>
      <c r="B25" s="10" t="s">
        <v>114</v>
      </c>
      <c r="C25" s="10" t="s">
        <v>113</v>
      </c>
      <c r="D25" s="10" t="s">
        <v>113</v>
      </c>
      <c r="E25" s="10" t="s">
        <v>113</v>
      </c>
      <c r="F25" s="10" t="s">
        <v>110</v>
      </c>
      <c r="G25" s="10" t="s">
        <v>114</v>
      </c>
      <c r="H25" s="40" t="s">
        <v>158</v>
      </c>
      <c r="I25" s="40" t="s">
        <v>157</v>
      </c>
      <c r="J25" s="10">
        <v>1425</v>
      </c>
      <c r="M25" t="str">
        <f t="shared" si="0"/>
        <v>INSERT INTO OLAP_SYS.GL_LT_PATTERN_HISTORY (GAMBLING_DATE,POS1,POS2,POS3,POS4,POS5,POS6,ADJUSTMENT_DATE_INI,ADJUSTMENT_DATE_END,GAMBLING_ID) VALUES (TO_DATE('02/03/2024','DD/MM/YYYY'),'G','B','B','B','#','G','03/06/2023','14/05/2024',1425);</v>
      </c>
    </row>
    <row r="26" spans="1:13" x14ac:dyDescent="0.25">
      <c r="A26" s="40" t="s">
        <v>131</v>
      </c>
      <c r="B26" s="10" t="s">
        <v>113</v>
      </c>
      <c r="C26" s="10" t="s">
        <v>113</v>
      </c>
      <c r="D26" s="10" t="s">
        <v>113</v>
      </c>
      <c r="E26" s="10" t="s">
        <v>113</v>
      </c>
      <c r="F26" s="10" t="s">
        <v>115</v>
      </c>
      <c r="G26" s="10" t="s">
        <v>114</v>
      </c>
      <c r="H26" s="40" t="s">
        <v>158</v>
      </c>
      <c r="I26" s="40" t="s">
        <v>157</v>
      </c>
      <c r="J26" s="10">
        <v>1425</v>
      </c>
      <c r="M26" t="str">
        <f t="shared" si="0"/>
        <v>INSERT INTO OLAP_SYS.GL_LT_PATTERN_HISTORY (GAMBLING_DATE,POS1,POS2,POS3,POS4,POS5,POS6,ADJUSTMENT_DATE_INI,ADJUSTMENT_DATE_END,GAMBLING_ID) VALUES (TO_DATE('26/12/2023','DD/MM/YYYY'),'B','B','B','B','R','G','03/06/2023','14/05/2024',1425);</v>
      </c>
    </row>
    <row r="27" spans="1:13" x14ac:dyDescent="0.25">
      <c r="A27" s="40" t="s">
        <v>136</v>
      </c>
      <c r="B27" s="10" t="s">
        <v>114</v>
      </c>
      <c r="C27" s="10" t="s">
        <v>115</v>
      </c>
      <c r="D27" s="10" t="s">
        <v>115</v>
      </c>
      <c r="E27" s="10" t="s">
        <v>114</v>
      </c>
      <c r="F27" s="10" t="s">
        <v>114</v>
      </c>
      <c r="G27" s="10" t="s">
        <v>113</v>
      </c>
      <c r="H27" s="40" t="s">
        <v>158</v>
      </c>
      <c r="I27" s="40" t="s">
        <v>157</v>
      </c>
      <c r="J27" s="10">
        <v>1425</v>
      </c>
      <c r="M27" t="str">
        <f t="shared" si="0"/>
        <v>INSERT INTO OLAP_SYS.GL_LT_PATTERN_HISTORY (GAMBLING_DATE,POS1,POS2,POS3,POS4,POS5,POS6,ADJUSTMENT_DATE_INI,ADJUSTMENT_DATE_END,GAMBLING_ID) VALUES (TO_DATE('03/02/2024','DD/MM/YYYY'),'G','R','R','G','G','B','03/06/2023','14/05/2024',1425);</v>
      </c>
    </row>
    <row r="28" spans="1:13" x14ac:dyDescent="0.25">
      <c r="A28" s="40" t="s">
        <v>137</v>
      </c>
      <c r="B28" s="10" t="s">
        <v>113</v>
      </c>
      <c r="C28" s="10" t="s">
        <v>115</v>
      </c>
      <c r="D28" s="10" t="s">
        <v>115</v>
      </c>
      <c r="E28" s="10" t="s">
        <v>110</v>
      </c>
      <c r="F28" s="10" t="s">
        <v>114</v>
      </c>
      <c r="G28" s="10" t="s">
        <v>113</v>
      </c>
      <c r="H28" s="40" t="s">
        <v>158</v>
      </c>
      <c r="I28" s="40" t="s">
        <v>157</v>
      </c>
      <c r="J28" s="10">
        <v>1425</v>
      </c>
      <c r="M28" t="str">
        <f t="shared" si="0"/>
        <v>INSERT INTO OLAP_SYS.GL_LT_PATTERN_HISTORY (GAMBLING_DATE,POS1,POS2,POS3,POS4,POS5,POS6,ADJUSTMENT_DATE_INI,ADJUSTMENT_DATE_END,GAMBLING_ID) VALUES (TO_DATE('31/10/2023','DD/MM/YYYY'),'B','R','R','#','G','B','03/06/2023','14/05/2024',1425);</v>
      </c>
    </row>
    <row r="29" spans="1:13" x14ac:dyDescent="0.25">
      <c r="A29" s="40" t="s">
        <v>138</v>
      </c>
      <c r="B29" s="10" t="s">
        <v>114</v>
      </c>
      <c r="C29" s="10" t="s">
        <v>110</v>
      </c>
      <c r="D29" s="10" t="s">
        <v>115</v>
      </c>
      <c r="E29" s="10" t="s">
        <v>114</v>
      </c>
      <c r="F29" s="10" t="s">
        <v>114</v>
      </c>
      <c r="G29" s="10" t="s">
        <v>114</v>
      </c>
      <c r="H29" s="40" t="s">
        <v>158</v>
      </c>
      <c r="I29" s="40" t="s">
        <v>157</v>
      </c>
      <c r="J29" s="10">
        <v>1425</v>
      </c>
      <c r="M29" t="str">
        <f t="shared" si="0"/>
        <v>INSERT INTO OLAP_SYS.GL_LT_PATTERN_HISTORY (GAMBLING_DATE,POS1,POS2,POS3,POS4,POS5,POS6,ADJUSTMENT_DATE_INI,ADJUSTMENT_DATE_END,GAMBLING_ID) VALUES (TO_DATE('28/10/2023','DD/MM/YYYY'),'G','#','R','G','G','G','03/06/2023','14/05/2024',1425);</v>
      </c>
    </row>
    <row r="30" spans="1:13" x14ac:dyDescent="0.25">
      <c r="A30" s="40" t="s">
        <v>139</v>
      </c>
      <c r="B30" s="10" t="s">
        <v>114</v>
      </c>
      <c r="C30" s="10" t="s">
        <v>115</v>
      </c>
      <c r="D30" s="10" t="s">
        <v>115</v>
      </c>
      <c r="E30" s="10" t="s">
        <v>110</v>
      </c>
      <c r="F30" s="10" t="s">
        <v>113</v>
      </c>
      <c r="G30" s="10" t="s">
        <v>113</v>
      </c>
      <c r="H30" s="40" t="s">
        <v>158</v>
      </c>
      <c r="I30" s="40" t="s">
        <v>157</v>
      </c>
      <c r="J30" s="10">
        <v>1425</v>
      </c>
      <c r="M30" t="str">
        <f t="shared" si="0"/>
        <v>INSERT INTO OLAP_SYS.GL_LT_PATTERN_HISTORY (GAMBLING_DATE,POS1,POS2,POS3,POS4,POS5,POS6,ADJUSTMENT_DATE_INI,ADJUSTMENT_DATE_END,GAMBLING_ID) VALUES (TO_DATE('17/06/2023','DD/MM/YYYY'),'G','R','R','#','B','B','03/06/2023','14/05/2024',1425);</v>
      </c>
    </row>
    <row r="31" spans="1:13" x14ac:dyDescent="0.25">
      <c r="A31" s="40" t="s">
        <v>125</v>
      </c>
      <c r="B31" s="10" t="s">
        <v>113</v>
      </c>
      <c r="C31" s="10" t="s">
        <v>114</v>
      </c>
      <c r="D31" s="10" t="s">
        <v>113</v>
      </c>
      <c r="E31" s="10" t="s">
        <v>113</v>
      </c>
      <c r="F31" s="10" t="s">
        <v>110</v>
      </c>
      <c r="G31" s="10" t="s">
        <v>114</v>
      </c>
      <c r="H31" s="40" t="s">
        <v>158</v>
      </c>
      <c r="I31" s="40" t="s">
        <v>157</v>
      </c>
      <c r="J31" s="10">
        <v>1425</v>
      </c>
      <c r="M31" t="str">
        <f t="shared" si="0"/>
        <v>INSERT INTO OLAP_SYS.GL_LT_PATTERN_HISTORY (GAMBLING_DATE,POS1,POS2,POS3,POS4,POS5,POS6,ADJUSTMENT_DATE_INI,ADJUSTMENT_DATE_END,GAMBLING_ID) VALUES (TO_DATE('30/01/2024','DD/MM/YYYY'),'B','G','B','B','#','G','03/06/2023','14/05/2024',1425);</v>
      </c>
    </row>
    <row r="32" spans="1:13" x14ac:dyDescent="0.25">
      <c r="A32" s="40" t="s">
        <v>133</v>
      </c>
      <c r="B32" s="10" t="s">
        <v>115</v>
      </c>
      <c r="C32" s="10" t="s">
        <v>114</v>
      </c>
      <c r="D32" s="10" t="s">
        <v>113</v>
      </c>
      <c r="E32" s="10" t="s">
        <v>113</v>
      </c>
      <c r="F32" s="10" t="s">
        <v>113</v>
      </c>
      <c r="G32" s="10" t="s">
        <v>114</v>
      </c>
      <c r="H32" s="40" t="s">
        <v>158</v>
      </c>
      <c r="I32" s="40" t="s">
        <v>157</v>
      </c>
      <c r="J32" s="10">
        <v>1425</v>
      </c>
      <c r="M32" t="str">
        <f t="shared" si="0"/>
        <v>INSERT INTO OLAP_SYS.GL_LT_PATTERN_HISTORY (GAMBLING_DATE,POS1,POS2,POS3,POS4,POS5,POS6,ADJUSTMENT_DATE_INI,ADJUSTMENT_DATE_END,GAMBLING_ID) VALUES (TO_DATE('30/12/2023','DD/MM/YYYY'),'R','G','B','B','B','G','03/06/2023','14/05/2024',1425);</v>
      </c>
    </row>
    <row r="33" spans="1:13" x14ac:dyDescent="0.25">
      <c r="A33" s="40" t="s">
        <v>152</v>
      </c>
      <c r="B33" s="10" t="s">
        <v>110</v>
      </c>
      <c r="C33" s="10" t="s">
        <v>114</v>
      </c>
      <c r="D33" s="10" t="s">
        <v>113</v>
      </c>
      <c r="E33" s="10" t="s">
        <v>113</v>
      </c>
      <c r="F33" s="10" t="s">
        <v>115</v>
      </c>
      <c r="G33" s="10" t="s">
        <v>114</v>
      </c>
      <c r="H33" s="40" t="s">
        <v>158</v>
      </c>
      <c r="I33" s="40" t="s">
        <v>157</v>
      </c>
      <c r="J33" s="10">
        <v>1425</v>
      </c>
      <c r="M33" t="str">
        <f t="shared" si="0"/>
        <v>INSERT INTO OLAP_SYS.GL_LT_PATTERN_HISTORY (GAMBLING_DATE,POS1,POS2,POS3,POS4,POS5,POS6,ADJUSTMENT_DATE_INI,ADJUSTMENT_DATE_END,GAMBLING_ID) VALUES (TO_DATE('12/08/2023','DD/MM/YYYY'),'#','G','B','B','R','G','03/06/2023','14/05/2024',1425);</v>
      </c>
    </row>
    <row r="34" spans="1:13" x14ac:dyDescent="0.25">
      <c r="A34" s="40" t="s">
        <v>140</v>
      </c>
      <c r="B34" s="10" t="s">
        <v>113</v>
      </c>
      <c r="C34" s="10" t="s">
        <v>113</v>
      </c>
      <c r="D34" s="10" t="s">
        <v>114</v>
      </c>
      <c r="E34" s="10" t="s">
        <v>113</v>
      </c>
      <c r="F34" s="10" t="s">
        <v>113</v>
      </c>
      <c r="G34" s="10" t="s">
        <v>113</v>
      </c>
      <c r="H34" s="40" t="s">
        <v>158</v>
      </c>
      <c r="I34" s="40" t="s">
        <v>157</v>
      </c>
      <c r="J34" s="10">
        <v>1425</v>
      </c>
      <c r="M34" t="str">
        <f t="shared" si="0"/>
        <v>INSERT INTO OLAP_SYS.GL_LT_PATTERN_HISTORY (GAMBLING_DATE,POS1,POS2,POS3,POS4,POS5,POS6,ADJUSTMENT_DATE_INI,ADJUSTMENT_DATE_END,GAMBLING_ID) VALUES (TO_DATE('27/01/2024','DD/MM/YYYY'),'B','B','G','B','B','B','03/06/2023','14/05/2024',1425);</v>
      </c>
    </row>
    <row r="35" spans="1:13" x14ac:dyDescent="0.25">
      <c r="A35" s="40" t="s">
        <v>141</v>
      </c>
      <c r="B35" s="10" t="s">
        <v>114</v>
      </c>
      <c r="C35" s="10" t="s">
        <v>110</v>
      </c>
      <c r="D35" s="10" t="s">
        <v>114</v>
      </c>
      <c r="E35" s="10" t="s">
        <v>113</v>
      </c>
      <c r="F35" s="10" t="s">
        <v>113</v>
      </c>
      <c r="G35" s="10" t="s">
        <v>113</v>
      </c>
      <c r="H35" s="40" t="s">
        <v>158</v>
      </c>
      <c r="I35" s="40" t="s">
        <v>157</v>
      </c>
      <c r="J35" s="10">
        <v>1425</v>
      </c>
      <c r="M35" t="str">
        <f t="shared" si="0"/>
        <v>INSERT INTO OLAP_SYS.GL_LT_PATTERN_HISTORY (GAMBLING_DATE,POS1,POS2,POS3,POS4,POS5,POS6,ADJUSTMENT_DATE_INI,ADJUSTMENT_DATE_END,GAMBLING_ID) VALUES (TO_DATE('06/01/2024','DD/MM/YYYY'),'G','#','G','B','B','B','03/06/2023','14/05/2024',1425);</v>
      </c>
    </row>
    <row r="36" spans="1:13" x14ac:dyDescent="0.25">
      <c r="A36" s="40" t="s">
        <v>142</v>
      </c>
      <c r="B36" s="10" t="s">
        <v>113</v>
      </c>
      <c r="C36" s="10" t="s">
        <v>113</v>
      </c>
      <c r="D36" s="10" t="s">
        <v>115</v>
      </c>
      <c r="E36" s="10" t="s">
        <v>115</v>
      </c>
      <c r="F36" s="10" t="s">
        <v>113</v>
      </c>
      <c r="G36" s="10" t="s">
        <v>113</v>
      </c>
      <c r="H36" s="40" t="s">
        <v>158</v>
      </c>
      <c r="I36" s="40" t="s">
        <v>157</v>
      </c>
      <c r="J36" s="10">
        <v>1425</v>
      </c>
      <c r="M36" t="str">
        <f t="shared" si="0"/>
        <v>INSERT INTO OLAP_SYS.GL_LT_PATTERN_HISTORY (GAMBLING_DATE,POS1,POS2,POS3,POS4,POS5,POS6,ADJUSTMENT_DATE_INI,ADJUSTMENT_DATE_END,GAMBLING_ID) VALUES (TO_DATE('24/10/2023','DD/MM/YYYY'),'B','B','R','R','B','B','03/06/2023','14/05/2024',1425);</v>
      </c>
    </row>
    <row r="37" spans="1:13" x14ac:dyDescent="0.25">
      <c r="A37" s="40" t="s">
        <v>143</v>
      </c>
      <c r="B37" s="10" t="s">
        <v>113</v>
      </c>
      <c r="C37" s="10" t="s">
        <v>113</v>
      </c>
      <c r="D37" s="10" t="s">
        <v>114</v>
      </c>
      <c r="E37" s="10" t="s">
        <v>113</v>
      </c>
      <c r="F37" s="10" t="s">
        <v>113</v>
      </c>
      <c r="G37" s="10" t="s">
        <v>113</v>
      </c>
      <c r="H37" s="40" t="s">
        <v>158</v>
      </c>
      <c r="I37" s="40" t="s">
        <v>157</v>
      </c>
      <c r="J37" s="10">
        <v>1425</v>
      </c>
      <c r="M37" t="str">
        <f t="shared" si="0"/>
        <v>INSERT INTO OLAP_SYS.GL_LT_PATTERN_HISTORY (GAMBLING_DATE,POS1,POS2,POS3,POS4,POS5,POS6,ADJUSTMENT_DATE_INI,ADJUSTMENT_DATE_END,GAMBLING_ID) VALUES (TO_DATE('21/10/2023','DD/MM/YYYY'),'B','B','G','B','B','B','03/06/2023','14/05/2024',1425);</v>
      </c>
    </row>
    <row r="38" spans="1:13" x14ac:dyDescent="0.25">
      <c r="A38" s="40" t="s">
        <v>144</v>
      </c>
      <c r="B38" s="10" t="s">
        <v>110</v>
      </c>
      <c r="C38" s="10" t="s">
        <v>110</v>
      </c>
      <c r="D38" s="10" t="s">
        <v>114</v>
      </c>
      <c r="E38" s="10" t="s">
        <v>113</v>
      </c>
      <c r="F38" s="10" t="s">
        <v>113</v>
      </c>
      <c r="G38" s="10" t="s">
        <v>113</v>
      </c>
      <c r="H38" s="40" t="s">
        <v>158</v>
      </c>
      <c r="I38" s="40" t="s">
        <v>157</v>
      </c>
      <c r="J38" s="10">
        <v>1425</v>
      </c>
      <c r="M38" t="str">
        <f t="shared" si="0"/>
        <v>INSERT INTO OLAP_SYS.GL_LT_PATTERN_HISTORY (GAMBLING_DATE,POS1,POS2,POS3,POS4,POS5,POS6,ADJUSTMENT_DATE_INI,ADJUSTMENT_DATE_END,GAMBLING_ID) VALUES (TO_DATE('25/07/2023','DD/MM/YYYY'),'#','#','G','B','B','B','03/06/2023','14/05/2024',1425);</v>
      </c>
    </row>
    <row r="39" spans="1:13" x14ac:dyDescent="0.25">
      <c r="A39" s="40" t="s">
        <v>145</v>
      </c>
      <c r="B39" s="10" t="s">
        <v>114</v>
      </c>
      <c r="C39" s="10" t="s">
        <v>115</v>
      </c>
      <c r="D39" s="10" t="s">
        <v>114</v>
      </c>
      <c r="E39" s="10" t="s">
        <v>113</v>
      </c>
      <c r="F39" s="10" t="s">
        <v>113</v>
      </c>
      <c r="G39" s="10" t="s">
        <v>114</v>
      </c>
      <c r="H39" s="40" t="s">
        <v>158</v>
      </c>
      <c r="I39" s="40" t="s">
        <v>157</v>
      </c>
      <c r="J39" s="10">
        <v>1425</v>
      </c>
      <c r="M39" t="str">
        <f t="shared" si="0"/>
        <v>INSERT INTO OLAP_SYS.GL_LT_PATTERN_HISTORY (GAMBLING_DATE,POS1,POS2,POS3,POS4,POS5,POS6,ADJUSTMENT_DATE_INI,ADJUSTMENT_DATE_END,GAMBLING_ID) VALUES (TO_DATE('10/06/2023','DD/MM/YYYY'),'G','R','G','B','B','G','03/06/2023','14/05/2024',1425);</v>
      </c>
    </row>
    <row r="40" spans="1:13" x14ac:dyDescent="0.25">
      <c r="A40" s="40" t="s">
        <v>146</v>
      </c>
      <c r="B40" s="10" t="s">
        <v>114</v>
      </c>
      <c r="C40" s="10" t="s">
        <v>110</v>
      </c>
      <c r="D40" s="10" t="s">
        <v>115</v>
      </c>
      <c r="E40" s="10" t="s">
        <v>113</v>
      </c>
      <c r="F40" s="10" t="s">
        <v>114</v>
      </c>
      <c r="G40" s="10" t="s">
        <v>110</v>
      </c>
      <c r="H40" s="40" t="s">
        <v>158</v>
      </c>
      <c r="I40" s="40" t="s">
        <v>157</v>
      </c>
      <c r="J40" s="10">
        <v>1425</v>
      </c>
      <c r="M40" t="str">
        <f t="shared" si="0"/>
        <v>INSERT INTO OLAP_SYS.GL_LT_PATTERN_HISTORY (GAMBLING_DATE,POS1,POS2,POS3,POS4,POS5,POS6,ADJUSTMENT_DATE_INI,ADJUSTMENT_DATE_END,GAMBLING_ID) VALUES (TO_DATE('23/01/2024','DD/MM/YYYY'),'G','#','R','B','G','#','03/06/2023','14/05/2024',1425);</v>
      </c>
    </row>
    <row r="41" spans="1:13" x14ac:dyDescent="0.25">
      <c r="A41" s="40" t="s">
        <v>147</v>
      </c>
      <c r="B41" s="10" t="s">
        <v>114</v>
      </c>
      <c r="C41" s="10" t="s">
        <v>110</v>
      </c>
      <c r="D41" s="10" t="s">
        <v>115</v>
      </c>
      <c r="E41" s="10" t="s">
        <v>113</v>
      </c>
      <c r="F41" s="10" t="s">
        <v>114</v>
      </c>
      <c r="G41" s="10" t="s">
        <v>114</v>
      </c>
      <c r="H41" s="40" t="s">
        <v>158</v>
      </c>
      <c r="I41" s="40" t="s">
        <v>157</v>
      </c>
      <c r="J41" s="10">
        <v>1425</v>
      </c>
      <c r="M41" t="str">
        <f t="shared" si="0"/>
        <v>INSERT INTO OLAP_SYS.GL_LT_PATTERN_HISTORY (GAMBLING_DATE,POS1,POS2,POS3,POS4,POS5,POS6,ADJUSTMENT_DATE_INI,ADJUSTMENT_DATE_END,GAMBLING_ID) VALUES (TO_DATE('29/08/2023','DD/MM/YYYY'),'G','#','R','B','G','G','03/06/2023','14/05/2024',1425);</v>
      </c>
    </row>
    <row r="42" spans="1:13" x14ac:dyDescent="0.25">
      <c r="A42" s="40" t="s">
        <v>134</v>
      </c>
      <c r="B42" s="10" t="s">
        <v>114</v>
      </c>
      <c r="C42" s="10" t="s">
        <v>114</v>
      </c>
      <c r="D42" s="10" t="s">
        <v>113</v>
      </c>
      <c r="E42" s="10" t="s">
        <v>114</v>
      </c>
      <c r="F42" s="10" t="s">
        <v>115</v>
      </c>
      <c r="G42" s="10" t="s">
        <v>114</v>
      </c>
      <c r="H42" s="40" t="s">
        <v>158</v>
      </c>
      <c r="I42" s="40" t="s">
        <v>157</v>
      </c>
      <c r="J42" s="10">
        <v>1425</v>
      </c>
      <c r="M42" t="str">
        <f t="shared" si="0"/>
        <v>INSERT INTO OLAP_SYS.GL_LT_PATTERN_HISTORY (GAMBLING_DATE,POS1,POS2,POS3,POS4,POS5,POS6,ADJUSTMENT_DATE_INI,ADJUSTMENT_DATE_END,GAMBLING_ID) VALUES (TO_DATE('09/12/2023','DD/MM/YYYY'),'G','G','B','G','R','G','03/06/2023','14/05/2024',1425);</v>
      </c>
    </row>
    <row r="43" spans="1:13" x14ac:dyDescent="0.25">
      <c r="A43" s="40" t="s">
        <v>156</v>
      </c>
      <c r="B43" s="10" t="s">
        <v>113</v>
      </c>
      <c r="C43" s="10" t="s">
        <v>114</v>
      </c>
      <c r="D43" s="10" t="s">
        <v>113</v>
      </c>
      <c r="E43" s="10" t="s">
        <v>114</v>
      </c>
      <c r="F43" s="10" t="s">
        <v>115</v>
      </c>
      <c r="G43" s="10" t="s">
        <v>113</v>
      </c>
      <c r="H43" s="40" t="s">
        <v>158</v>
      </c>
      <c r="I43" s="40" t="s">
        <v>157</v>
      </c>
      <c r="J43" s="10">
        <v>1425</v>
      </c>
      <c r="M43" t="str">
        <f t="shared" si="0"/>
        <v>INSERT INTO OLAP_SYS.GL_LT_PATTERN_HISTORY (GAMBLING_DATE,POS1,POS2,POS3,POS4,POS5,POS6,ADJUSTMENT_DATE_INI,ADJUSTMENT_DATE_END,GAMBLING_ID) VALUES (TO_DATE('02/12/2023','DD/MM/YYYY'),'B','G','B','G','R','B','03/06/2023','14/05/2024',1425);</v>
      </c>
    </row>
    <row r="44" spans="1:13" x14ac:dyDescent="0.25">
      <c r="A44" s="40" t="s">
        <v>148</v>
      </c>
      <c r="B44" s="10" t="s">
        <v>113</v>
      </c>
      <c r="C44" s="10" t="s">
        <v>113</v>
      </c>
      <c r="D44" s="10" t="s">
        <v>114</v>
      </c>
      <c r="E44" s="10" t="s">
        <v>115</v>
      </c>
      <c r="F44" s="10" t="s">
        <v>114</v>
      </c>
      <c r="G44" s="10" t="s">
        <v>115</v>
      </c>
      <c r="H44" s="40" t="s">
        <v>158</v>
      </c>
      <c r="I44" s="40" t="s">
        <v>157</v>
      </c>
      <c r="J44" s="10">
        <v>1425</v>
      </c>
      <c r="M44" t="str">
        <f t="shared" si="0"/>
        <v>INSERT INTO OLAP_SYS.GL_LT_PATTERN_HISTORY (GAMBLING_DATE,POS1,POS2,POS3,POS4,POS5,POS6,ADJUSTMENT_DATE_INI,ADJUSTMENT_DATE_END,GAMBLING_ID) VALUES (TO_DATE('05/12/2023','DD/MM/YYYY'),'B','B','G','R','G','R','03/06/2023','14/05/2024',1425);</v>
      </c>
    </row>
    <row r="45" spans="1:13" x14ac:dyDescent="0.25">
      <c r="A45" s="40" t="s">
        <v>127</v>
      </c>
      <c r="B45" s="10" t="s">
        <v>113</v>
      </c>
      <c r="C45" s="10" t="s">
        <v>114</v>
      </c>
      <c r="D45" s="10" t="s">
        <v>114</v>
      </c>
      <c r="E45" s="10" t="s">
        <v>115</v>
      </c>
      <c r="F45" s="10" t="s">
        <v>114</v>
      </c>
      <c r="G45" s="10" t="s">
        <v>113</v>
      </c>
      <c r="H45" s="40" t="s">
        <v>158</v>
      </c>
      <c r="I45" s="40" t="s">
        <v>157</v>
      </c>
      <c r="J45" s="10">
        <v>1425</v>
      </c>
      <c r="M45" t="str">
        <f t="shared" si="0"/>
        <v>INSERT INTO OLAP_SYS.GL_LT_PATTERN_HISTORY (GAMBLING_DATE,POS1,POS2,POS3,POS4,POS5,POS6,ADJUSTMENT_DATE_INI,ADJUSTMENT_DATE_END,GAMBLING_ID) VALUES (TO_DATE('15/07/2023','DD/MM/YYYY'),'B','G','G','R','G','B','03/06/2023','14/05/2024',1425);</v>
      </c>
    </row>
    <row r="46" spans="1:13" x14ac:dyDescent="0.25">
      <c r="A46" s="40" t="s">
        <v>149</v>
      </c>
      <c r="B46" s="10" t="s">
        <v>114</v>
      </c>
      <c r="C46" s="10" t="s">
        <v>113</v>
      </c>
      <c r="D46" s="10" t="s">
        <v>113</v>
      </c>
      <c r="E46" s="10" t="s">
        <v>115</v>
      </c>
      <c r="F46" s="10" t="s">
        <v>114</v>
      </c>
      <c r="G46" s="10" t="s">
        <v>115</v>
      </c>
      <c r="H46" s="40" t="s">
        <v>158</v>
      </c>
      <c r="I46" s="40" t="s">
        <v>157</v>
      </c>
      <c r="J46" s="10">
        <v>1425</v>
      </c>
      <c r="M46" t="str">
        <f t="shared" si="0"/>
        <v>INSERT INTO OLAP_SYS.GL_LT_PATTERN_HISTORY (GAMBLING_DATE,POS1,POS2,POS3,POS4,POS5,POS6,ADJUSTMENT_DATE_INI,ADJUSTMENT_DATE_END,GAMBLING_ID) VALUES (TO_DATE('04/07/2023','DD/MM/YYYY'),'G','B','B','R','G','R','03/06/2023','14/05/2024',1425);</v>
      </c>
    </row>
    <row r="47" spans="1:13" x14ac:dyDescent="0.25">
      <c r="A47" s="40" t="s">
        <v>128</v>
      </c>
      <c r="B47" s="10" t="s">
        <v>113</v>
      </c>
      <c r="C47" s="10" t="s">
        <v>110</v>
      </c>
      <c r="D47" s="10" t="s">
        <v>114</v>
      </c>
      <c r="E47" s="10" t="s">
        <v>115</v>
      </c>
      <c r="F47" s="10" t="s">
        <v>114</v>
      </c>
      <c r="G47" s="10" t="s">
        <v>114</v>
      </c>
      <c r="H47" s="40" t="s">
        <v>158</v>
      </c>
      <c r="I47" s="40" t="s">
        <v>157</v>
      </c>
      <c r="J47" s="10">
        <v>1425</v>
      </c>
      <c r="M47" t="str">
        <f t="shared" si="0"/>
        <v>INSERT INTO OLAP_SYS.GL_LT_PATTERN_HISTORY (GAMBLING_DATE,POS1,POS2,POS3,POS4,POS5,POS6,ADJUSTMENT_DATE_INI,ADJUSTMENT_DATE_END,GAMBLING_ID) VALUES (TO_DATE('06/06/2023','DD/MM/YYYY'),'B','#','G','R','G','G','03/06/2023','14/05/2024',1425);</v>
      </c>
    </row>
    <row r="48" spans="1:13" x14ac:dyDescent="0.25">
      <c r="A48" s="40"/>
      <c r="B48" s="10" t="s">
        <v>110</v>
      </c>
      <c r="C48" s="10" t="s">
        <v>110</v>
      </c>
      <c r="D48" s="10" t="s">
        <v>110</v>
      </c>
      <c r="E48" s="10" t="s">
        <v>110</v>
      </c>
      <c r="F48" s="10" t="s">
        <v>110</v>
      </c>
      <c r="G48" s="10" t="s">
        <v>110</v>
      </c>
      <c r="H48" s="40" t="s">
        <v>158</v>
      </c>
      <c r="I48" s="40" t="s">
        <v>157</v>
      </c>
      <c r="J48" s="10">
        <v>1425</v>
      </c>
      <c r="M48" t="str">
        <f t="shared" si="0"/>
        <v>INSERT INTO OLAP_SYS.GL_LT_PATTERN_HISTORY (GAMBLING_DATE,POS1,POS2,POS3,POS4,POS5,POS6,ADJUSTMENT_DATE_INI,ADJUSTMENT_DATE_END,GAMBLING_ID) VALUES (TO_DATE('','DD/MM/YYYY'),'#','#','#','#','#','#','03/06/2023','14/05/2024',1425);</v>
      </c>
    </row>
    <row r="49" spans="1:13" x14ac:dyDescent="0.25">
      <c r="A49" s="40"/>
      <c r="B49" s="10" t="s">
        <v>110</v>
      </c>
      <c r="C49" s="10" t="s">
        <v>110</v>
      </c>
      <c r="D49" s="10" t="s">
        <v>110</v>
      </c>
      <c r="E49" s="10" t="s">
        <v>110</v>
      </c>
      <c r="F49" s="10" t="s">
        <v>110</v>
      </c>
      <c r="G49" s="10" t="s">
        <v>110</v>
      </c>
      <c r="H49" s="40" t="s">
        <v>158</v>
      </c>
      <c r="I49" s="40" t="s">
        <v>157</v>
      </c>
      <c r="J49" s="10">
        <v>1425</v>
      </c>
      <c r="M49" t="str">
        <f t="shared" si="0"/>
        <v>INSERT INTO OLAP_SYS.GL_LT_PATTERN_HISTORY (GAMBLING_DATE,POS1,POS2,POS3,POS4,POS5,POS6,ADJUSTMENT_DATE_INI,ADJUSTMENT_DATE_END,GAMBLING_ID) VALUES (TO_DATE('','DD/MM/YYYY'),'#','#','#','#','#','#','03/06/2023','14/05/2024',1425);</v>
      </c>
    </row>
    <row r="50" spans="1:13" x14ac:dyDescent="0.25">
      <c r="A50" s="40"/>
      <c r="B50" s="10" t="s">
        <v>110</v>
      </c>
      <c r="C50" s="10" t="s">
        <v>110</v>
      </c>
      <c r="D50" s="10" t="s">
        <v>110</v>
      </c>
      <c r="E50" s="10" t="s">
        <v>110</v>
      </c>
      <c r="F50" s="10" t="s">
        <v>110</v>
      </c>
      <c r="G50" s="10" t="s">
        <v>110</v>
      </c>
      <c r="H50" s="40" t="s">
        <v>158</v>
      </c>
      <c r="I50" s="40" t="s">
        <v>157</v>
      </c>
      <c r="J50" s="10">
        <v>1425</v>
      </c>
      <c r="M50" t="str">
        <f t="shared" si="0"/>
        <v>INSERT INTO OLAP_SYS.GL_LT_PATTERN_HISTORY (GAMBLING_DATE,POS1,POS2,POS3,POS4,POS5,POS6,ADJUSTMENT_DATE_INI,ADJUSTMENT_DATE_END,GAMBLING_ID) VALUES (TO_DATE('','DD/MM/YYYY'),'#','#','#','#','#','#','03/06/2023','14/05/2024',1425);</v>
      </c>
    </row>
    <row r="51" spans="1:13" x14ac:dyDescent="0.25">
      <c r="A51" s="40"/>
      <c r="B51" s="10"/>
      <c r="C51" s="10"/>
      <c r="D51" s="10"/>
      <c r="E51" s="10"/>
      <c r="F51" s="10"/>
      <c r="G51" s="10"/>
      <c r="H51" s="40"/>
      <c r="I51" s="40"/>
      <c r="J51" s="10"/>
      <c r="M51" t="s">
        <v>26</v>
      </c>
    </row>
    <row r="52" spans="1:13" x14ac:dyDescent="0.25">
      <c r="A52" s="40"/>
      <c r="B52" s="10"/>
      <c r="C52" s="10"/>
      <c r="D52" s="10"/>
      <c r="E52" s="10"/>
      <c r="F52" s="10"/>
      <c r="G52" s="10"/>
      <c r="H52" s="40"/>
      <c r="I52" s="40"/>
      <c r="J52" s="10"/>
    </row>
    <row r="53" spans="1:13" x14ac:dyDescent="0.25">
      <c r="A53" s="40"/>
      <c r="B53" s="39"/>
      <c r="C53" s="39"/>
      <c r="D53" s="39"/>
      <c r="E53" s="39"/>
      <c r="F53" s="39"/>
      <c r="G53" s="39"/>
      <c r="H53" s="40"/>
      <c r="I53" s="40"/>
      <c r="J53" s="10"/>
    </row>
    <row r="54" spans="1:13" x14ac:dyDescent="0.25">
      <c r="A54" s="40"/>
      <c r="B54" s="39"/>
      <c r="C54" s="39"/>
      <c r="D54" s="39"/>
      <c r="E54" s="39"/>
      <c r="F54" s="39"/>
      <c r="G54" s="39"/>
      <c r="H54" s="40"/>
      <c r="I54" s="40"/>
      <c r="J54" s="10"/>
    </row>
    <row r="55" spans="1:13" x14ac:dyDescent="0.25">
      <c r="A55" s="40"/>
      <c r="B55" s="39"/>
      <c r="C55" s="39"/>
      <c r="D55" s="39"/>
      <c r="E55" s="39"/>
      <c r="F55" s="39"/>
      <c r="G55" s="39"/>
      <c r="H55" s="40"/>
      <c r="I55" s="40"/>
      <c r="J55" s="10"/>
    </row>
    <row r="56" spans="1:13" x14ac:dyDescent="0.25">
      <c r="A56" s="40"/>
      <c r="B56" s="39"/>
      <c r="C56" s="39"/>
      <c r="D56" s="39"/>
      <c r="E56" s="39"/>
      <c r="F56" s="39"/>
      <c r="G56" s="39"/>
      <c r="H56" s="40"/>
      <c r="I56" s="40"/>
      <c r="J56" s="10"/>
    </row>
    <row r="57" spans="1:13" x14ac:dyDescent="0.25">
      <c r="A57" s="40"/>
      <c r="B57" s="39"/>
      <c r="C57" s="39"/>
      <c r="D57" s="39"/>
      <c r="E57" s="39"/>
      <c r="F57" s="39"/>
      <c r="G57" s="39"/>
      <c r="H57" s="40"/>
      <c r="I57" s="40"/>
      <c r="J57" s="10"/>
    </row>
    <row r="58" spans="1:13" x14ac:dyDescent="0.25">
      <c r="A58" s="40"/>
      <c r="B58" s="39"/>
      <c r="C58" s="39"/>
      <c r="D58" s="39"/>
      <c r="E58" s="39"/>
      <c r="F58" s="39"/>
      <c r="G58" s="39"/>
      <c r="H58" s="40"/>
      <c r="I58" s="40"/>
      <c r="J58" s="10"/>
    </row>
    <row r="100" spans="8:10" x14ac:dyDescent="0.25">
      <c r="H100" s="5" t="s">
        <v>111</v>
      </c>
      <c r="I100" s="5" t="s">
        <v>112</v>
      </c>
      <c r="J100" s="15">
        <v>1236</v>
      </c>
    </row>
  </sheetData>
  <mergeCells count="1">
    <mergeCell ref="B2:H2"/>
  </mergeCells>
  <conditionalFormatting sqref="B14:G58">
    <cfRule type="cellIs" dxfId="9" priority="15" operator="equal">
      <formula>"B"</formula>
    </cfRule>
    <cfRule type="cellIs" dxfId="8" priority="16" operator="equal">
      <formula>"G"</formula>
    </cfRule>
    <cfRule type="cellIs" dxfId="7" priority="17" operator="equal">
      <formula>"R"</formula>
    </cfRule>
  </conditionalFormatting>
  <conditionalFormatting sqref="B8:G52">
    <cfRule type="cellIs" dxfId="6" priority="4" operator="equal">
      <formula>"B"</formula>
    </cfRule>
    <cfRule type="cellIs" dxfId="5" priority="5" operator="equal">
      <formula>"G"</formula>
    </cfRule>
    <cfRule type="cellIs" dxfId="4" priority="6" operator="equal">
      <formula>"R"</formula>
    </cfRule>
  </conditionalFormatting>
  <conditionalFormatting sqref="B48:G48">
    <cfRule type="cellIs" dxfId="3" priority="1" operator="equal">
      <formula>"B"</formula>
    </cfRule>
    <cfRule type="cellIs" dxfId="2" priority="2" operator="equal">
      <formula>"G"</formula>
    </cfRule>
    <cfRule type="cellIs" dxfId="1" priority="3" operator="equal">
      <formula>"R"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" operator="containsText" id="{ACED3564-1270-4F7F-B6E9-CC8B78138CA6}">
            <xm:f>NOT(ISERROR(SEARCH($A$4,A8)))</xm:f>
            <xm:f>$A$4</xm:f>
            <x14:dxf>
              <fill>
                <gradientFill degree="45">
                  <stop position="0">
                    <color theme="2"/>
                  </stop>
                  <stop position="0.5">
                    <color rgb="FFEFF795"/>
                  </stop>
                  <stop position="1">
                    <color theme="2"/>
                  </stop>
                </gradientFill>
              </fill>
            </x14:dxf>
          </x14:cfRule>
          <xm:sqref>A8:A58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5CC3-6E70-4009-9636-492BCAE84DB8}">
  <sheetPr codeName="Sheet8"/>
  <dimension ref="A1:E34"/>
  <sheetViews>
    <sheetView workbookViewId="0">
      <selection activeCell="D7" sqref="D7"/>
    </sheetView>
  </sheetViews>
  <sheetFormatPr defaultRowHeight="15" x14ac:dyDescent="0.25"/>
  <cols>
    <col min="2" max="2" width="59.28515625" bestFit="1" customWidth="1"/>
    <col min="3" max="3" width="11.140625" bestFit="1" customWidth="1"/>
    <col min="4" max="4" width="27.85546875" bestFit="1" customWidth="1"/>
    <col min="5" max="5" width="132.42578125" bestFit="1" customWidth="1"/>
    <col min="8" max="8" width="11.28515625" bestFit="1" customWidth="1"/>
  </cols>
  <sheetData>
    <row r="1" spans="1:5" x14ac:dyDescent="0.25">
      <c r="A1" s="42" t="s">
        <v>27</v>
      </c>
      <c r="B1" s="42"/>
      <c r="D1" s="42" t="s">
        <v>35</v>
      </c>
      <c r="E1" s="42"/>
    </row>
    <row r="2" spans="1:5" x14ac:dyDescent="0.25">
      <c r="A2" s="11" t="s">
        <v>28</v>
      </c>
      <c r="B2" s="11" t="s">
        <v>29</v>
      </c>
      <c r="D2" s="11" t="s">
        <v>44</v>
      </c>
      <c r="E2" s="11" t="s">
        <v>45</v>
      </c>
    </row>
    <row r="3" spans="1:5" x14ac:dyDescent="0.25">
      <c r="A3">
        <v>1</v>
      </c>
      <c r="B3" t="s">
        <v>30</v>
      </c>
      <c r="D3" t="s">
        <v>36</v>
      </c>
      <c r="E3" t="s">
        <v>46</v>
      </c>
    </row>
    <row r="4" spans="1:5" x14ac:dyDescent="0.25">
      <c r="A4">
        <v>2</v>
      </c>
      <c r="B4" t="s">
        <v>31</v>
      </c>
      <c r="D4" t="s">
        <v>37</v>
      </c>
      <c r="E4" t="s">
        <v>47</v>
      </c>
    </row>
    <row r="5" spans="1:5" x14ac:dyDescent="0.25">
      <c r="A5">
        <v>3</v>
      </c>
      <c r="B5" t="s">
        <v>32</v>
      </c>
      <c r="D5" t="s">
        <v>38</v>
      </c>
      <c r="E5" t="s">
        <v>48</v>
      </c>
    </row>
    <row r="6" spans="1:5" x14ac:dyDescent="0.25">
      <c r="A6">
        <v>4</v>
      </c>
      <c r="B6" t="s">
        <v>34</v>
      </c>
      <c r="D6" t="s">
        <v>39</v>
      </c>
      <c r="E6" t="s">
        <v>49</v>
      </c>
    </row>
    <row r="7" spans="1:5" x14ac:dyDescent="0.25">
      <c r="A7">
        <v>5</v>
      </c>
      <c r="B7" t="s">
        <v>33</v>
      </c>
      <c r="C7" t="s">
        <v>81</v>
      </c>
      <c r="D7" s="18" t="s">
        <v>40</v>
      </c>
      <c r="E7" t="s">
        <v>50</v>
      </c>
    </row>
    <row r="8" spans="1:5" x14ac:dyDescent="0.25">
      <c r="A8">
        <v>6</v>
      </c>
      <c r="B8" t="s">
        <v>70</v>
      </c>
      <c r="C8" t="s">
        <v>81</v>
      </c>
      <c r="D8" s="18" t="s">
        <v>41</v>
      </c>
      <c r="E8" t="s">
        <v>51</v>
      </c>
    </row>
    <row r="9" spans="1:5" x14ac:dyDescent="0.25">
      <c r="A9">
        <v>7</v>
      </c>
      <c r="B9" t="s">
        <v>71</v>
      </c>
      <c r="D9" t="s">
        <v>43</v>
      </c>
      <c r="E9" t="s">
        <v>64</v>
      </c>
    </row>
    <row r="10" spans="1:5" x14ac:dyDescent="0.25">
      <c r="A10">
        <v>8</v>
      </c>
      <c r="D10" s="14" t="s">
        <v>73</v>
      </c>
      <c r="E10" t="s">
        <v>74</v>
      </c>
    </row>
    <row r="11" spans="1:5" x14ac:dyDescent="0.25">
      <c r="A11">
        <v>9</v>
      </c>
      <c r="D11" t="s">
        <v>42</v>
      </c>
    </row>
    <row r="12" spans="1:5" x14ac:dyDescent="0.25">
      <c r="A12">
        <v>10</v>
      </c>
      <c r="D12" t="s">
        <v>63</v>
      </c>
    </row>
    <row r="13" spans="1:5" x14ac:dyDescent="0.25">
      <c r="C13" t="s">
        <v>81</v>
      </c>
      <c r="D13" t="s">
        <v>75</v>
      </c>
      <c r="E13" t="s">
        <v>76</v>
      </c>
    </row>
    <row r="14" spans="1:5" x14ac:dyDescent="0.25">
      <c r="D14" t="s">
        <v>80</v>
      </c>
    </row>
    <row r="16" spans="1:5" x14ac:dyDescent="0.25">
      <c r="A16" s="42" t="s">
        <v>52</v>
      </c>
      <c r="B16" s="42"/>
    </row>
    <row r="17" spans="1:3" x14ac:dyDescent="0.25">
      <c r="A17" s="11" t="s">
        <v>28</v>
      </c>
      <c r="B17" s="11" t="s">
        <v>29</v>
      </c>
      <c r="C17" t="s">
        <v>78</v>
      </c>
    </row>
    <row r="18" spans="1:3" x14ac:dyDescent="0.25">
      <c r="A18">
        <v>1</v>
      </c>
      <c r="B18" t="s">
        <v>53</v>
      </c>
      <c r="C18" t="s">
        <v>79</v>
      </c>
    </row>
    <row r="19" spans="1:3" x14ac:dyDescent="0.25">
      <c r="A19">
        <v>2</v>
      </c>
      <c r="B19" t="s">
        <v>54</v>
      </c>
      <c r="C19" t="s">
        <v>79</v>
      </c>
    </row>
    <row r="20" spans="1:3" x14ac:dyDescent="0.25">
      <c r="B20" s="12" t="s">
        <v>55</v>
      </c>
      <c r="C20" t="s">
        <v>79</v>
      </c>
    </row>
    <row r="21" spans="1:3" x14ac:dyDescent="0.25">
      <c r="B21" s="12" t="s">
        <v>56</v>
      </c>
    </row>
    <row r="22" spans="1:3" x14ac:dyDescent="0.25">
      <c r="B22" s="12" t="s">
        <v>57</v>
      </c>
    </row>
    <row r="23" spans="1:3" x14ac:dyDescent="0.25">
      <c r="A23">
        <v>3</v>
      </c>
      <c r="B23" s="13" t="s">
        <v>58</v>
      </c>
      <c r="C23" t="s">
        <v>79</v>
      </c>
    </row>
    <row r="24" spans="1:3" x14ac:dyDescent="0.25">
      <c r="A24">
        <v>4</v>
      </c>
      <c r="B24" s="13" t="s">
        <v>61</v>
      </c>
      <c r="C24" t="s">
        <v>79</v>
      </c>
    </row>
    <row r="25" spans="1:3" x14ac:dyDescent="0.25">
      <c r="A25">
        <v>5</v>
      </c>
      <c r="B25" s="13" t="s">
        <v>62</v>
      </c>
      <c r="C25" t="s">
        <v>79</v>
      </c>
    </row>
    <row r="26" spans="1:3" x14ac:dyDescent="0.25">
      <c r="B26" s="12" t="s">
        <v>65</v>
      </c>
      <c r="C26" t="s">
        <v>79</v>
      </c>
    </row>
    <row r="27" spans="1:3" x14ac:dyDescent="0.25">
      <c r="B27" s="12" t="s">
        <v>66</v>
      </c>
      <c r="C27" t="s">
        <v>79</v>
      </c>
    </row>
    <row r="28" spans="1:3" x14ac:dyDescent="0.25">
      <c r="B28" s="12" t="s">
        <v>67</v>
      </c>
      <c r="C28" t="s">
        <v>79</v>
      </c>
    </row>
    <row r="29" spans="1:3" x14ac:dyDescent="0.25">
      <c r="B29" s="12" t="s">
        <v>68</v>
      </c>
      <c r="C29" t="s">
        <v>79</v>
      </c>
    </row>
    <row r="30" spans="1:3" x14ac:dyDescent="0.25">
      <c r="B30" s="12" t="s">
        <v>69</v>
      </c>
      <c r="C30" t="s">
        <v>79</v>
      </c>
    </row>
    <row r="31" spans="1:3" x14ac:dyDescent="0.25">
      <c r="A31">
        <v>6</v>
      </c>
      <c r="B31" s="13" t="s">
        <v>59</v>
      </c>
    </row>
    <row r="32" spans="1:3" x14ac:dyDescent="0.25">
      <c r="A32">
        <v>7</v>
      </c>
      <c r="B32" s="13" t="s">
        <v>60</v>
      </c>
    </row>
    <row r="33" spans="1:3" x14ac:dyDescent="0.25">
      <c r="A33">
        <v>8</v>
      </c>
      <c r="B33" s="13" t="s">
        <v>72</v>
      </c>
      <c r="C33" t="s">
        <v>79</v>
      </c>
    </row>
    <row r="34" spans="1:3" x14ac:dyDescent="0.25">
      <c r="B34" s="13"/>
    </row>
  </sheetData>
  <mergeCells count="3">
    <mergeCell ref="A1:B1"/>
    <mergeCell ref="D1:E1"/>
    <mergeCell ref="A16:B1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DACF5-1FFE-418A-A292-E2F6D8F4864F}">
  <sheetPr codeName="Sheet4"/>
  <dimension ref="A3:M6"/>
  <sheetViews>
    <sheetView workbookViewId="0">
      <selection activeCell="A4" sqref="A4"/>
    </sheetView>
  </sheetViews>
  <sheetFormatPr defaultRowHeight="15" x14ac:dyDescent="0.25"/>
  <cols>
    <col min="1" max="1" width="12.7109375" bestFit="1" customWidth="1"/>
    <col min="2" max="2" width="7.28515625" bestFit="1" customWidth="1"/>
    <col min="3" max="3" width="17.42578125" bestFit="1" customWidth="1"/>
    <col min="4" max="4" width="7.28515625" bestFit="1" customWidth="1"/>
    <col min="5" max="5" width="17.42578125" bestFit="1" customWidth="1"/>
    <col min="6" max="6" width="7.28515625" bestFit="1" customWidth="1"/>
    <col min="7" max="7" width="17.42578125" bestFit="1" customWidth="1"/>
    <col min="8" max="8" width="7.28515625" bestFit="1" customWidth="1"/>
    <col min="9" max="9" width="17.42578125" bestFit="1" customWidth="1"/>
    <col min="10" max="10" width="7.28515625" bestFit="1" customWidth="1"/>
    <col min="11" max="11" width="17.42578125" bestFit="1" customWidth="1"/>
    <col min="12" max="12" width="7.28515625" bestFit="1" customWidth="1"/>
    <col min="13" max="13" width="17.42578125" bestFit="1" customWidth="1"/>
  </cols>
  <sheetData>
    <row r="3" spans="1:13" x14ac:dyDescent="0.25">
      <c r="A3" t="s">
        <v>92</v>
      </c>
    </row>
    <row r="5" spans="1:13" x14ac:dyDescent="0.25">
      <c r="A5" t="s">
        <v>89</v>
      </c>
      <c r="B5" t="s">
        <v>90</v>
      </c>
      <c r="C5" t="s">
        <v>91</v>
      </c>
      <c r="D5" t="s">
        <v>90</v>
      </c>
      <c r="E5" t="s">
        <v>91</v>
      </c>
      <c r="F5" t="s">
        <v>90</v>
      </c>
      <c r="G5" t="s">
        <v>91</v>
      </c>
      <c r="H5" t="s">
        <v>90</v>
      </c>
      <c r="I5" t="s">
        <v>91</v>
      </c>
      <c r="J5" t="s">
        <v>90</v>
      </c>
      <c r="K5" t="s">
        <v>91</v>
      </c>
      <c r="L5" t="s">
        <v>90</v>
      </c>
      <c r="M5" t="s">
        <v>91</v>
      </c>
    </row>
    <row r="6" spans="1:13" x14ac:dyDescent="0.25">
      <c r="A6">
        <v>1206</v>
      </c>
      <c r="B6" t="s">
        <v>1</v>
      </c>
      <c r="C6">
        <v>1</v>
      </c>
      <c r="D6" t="s">
        <v>2</v>
      </c>
      <c r="E6">
        <v>1</v>
      </c>
      <c r="F6" t="s">
        <v>3</v>
      </c>
      <c r="G6">
        <v>1</v>
      </c>
      <c r="H6" t="s">
        <v>4</v>
      </c>
      <c r="I6">
        <v>1</v>
      </c>
      <c r="J6" t="s">
        <v>5</v>
      </c>
      <c r="K6">
        <v>0</v>
      </c>
      <c r="L6" t="s">
        <v>6</v>
      </c>
      <c r="M6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24"/>
  <sheetViews>
    <sheetView workbookViewId="0">
      <selection activeCell="H2" sqref="H2:H8"/>
    </sheetView>
  </sheetViews>
  <sheetFormatPr defaultColWidth="11.42578125" defaultRowHeight="15" x14ac:dyDescent="0.25"/>
  <cols>
    <col min="2" max="2" width="11.42578125" style="5"/>
  </cols>
  <sheetData>
    <row r="1" spans="1:8" x14ac:dyDescent="0.25">
      <c r="A1" t="s">
        <v>25</v>
      </c>
      <c r="B1" s="5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18</v>
      </c>
    </row>
    <row r="2" spans="1:8" x14ac:dyDescent="0.25">
      <c r="A2">
        <v>7105</v>
      </c>
      <c r="B2" s="7"/>
      <c r="C2" s="1"/>
      <c r="D2" s="1"/>
      <c r="E2" s="1"/>
      <c r="F2" s="1"/>
      <c r="G2" s="1"/>
      <c r="H2" t="str">
        <f t="shared" ref="H2:H10" si="0">$H$1&amp;"'"&amp;B2&amp;"',"&amp;C2&amp;","&amp;D2&amp;","&amp;E2&amp;","&amp;F2&amp;","&amp;G2&amp;");"</f>
        <v>INSERT INTO OLAP_SYS.CHISPAZO_RESULTADOS (FECHA_SORTEO,R1,R2,R3,R4,R5) VALUES ('',,,,,);</v>
      </c>
    </row>
    <row r="3" spans="1:8" x14ac:dyDescent="0.25">
      <c r="A3">
        <v>7106</v>
      </c>
      <c r="B3" s="7"/>
      <c r="C3" s="1"/>
      <c r="D3" s="1"/>
      <c r="E3" s="1"/>
      <c r="F3" s="1"/>
      <c r="G3" s="1"/>
      <c r="H3" t="str">
        <f t="shared" si="0"/>
        <v>INSERT INTO OLAP_SYS.CHISPAZO_RESULTADOS (FECHA_SORTEO,R1,R2,R3,R4,R5) VALUES ('',,,,,);</v>
      </c>
    </row>
    <row r="4" spans="1:8" x14ac:dyDescent="0.25">
      <c r="A4">
        <v>7107</v>
      </c>
      <c r="B4" s="7"/>
      <c r="C4" s="1"/>
      <c r="D4" s="1"/>
      <c r="E4" s="1"/>
      <c r="F4" s="1"/>
      <c r="G4" s="1"/>
      <c r="H4" t="str">
        <f t="shared" si="0"/>
        <v>INSERT INTO OLAP_SYS.CHISPAZO_RESULTADOS (FECHA_SORTEO,R1,R2,R3,R4,R5) VALUES ('',,,,,);</v>
      </c>
    </row>
    <row r="5" spans="1:8" x14ac:dyDescent="0.25">
      <c r="A5">
        <v>7108</v>
      </c>
      <c r="B5" s="7"/>
      <c r="C5" s="6"/>
      <c r="D5" s="6"/>
      <c r="E5" s="6"/>
      <c r="F5" s="6"/>
      <c r="G5" s="6"/>
      <c r="H5" t="str">
        <f t="shared" si="0"/>
        <v>INSERT INTO OLAP_SYS.CHISPAZO_RESULTADOS (FECHA_SORTEO,R1,R2,R3,R4,R5) VALUES ('',,,,,);</v>
      </c>
    </row>
    <row r="6" spans="1:8" x14ac:dyDescent="0.25">
      <c r="A6">
        <v>7109</v>
      </c>
      <c r="B6" s="7"/>
      <c r="C6" s="6"/>
      <c r="D6" s="6"/>
      <c r="E6" s="6"/>
      <c r="F6" s="6"/>
      <c r="G6" s="6"/>
      <c r="H6" t="str">
        <f t="shared" si="0"/>
        <v>INSERT INTO OLAP_SYS.CHISPAZO_RESULTADOS (FECHA_SORTEO,R1,R2,R3,R4,R5) VALUES ('',,,,,);</v>
      </c>
    </row>
    <row r="7" spans="1:8" x14ac:dyDescent="0.25">
      <c r="A7">
        <v>7110</v>
      </c>
      <c r="B7" s="7"/>
      <c r="C7" s="1"/>
      <c r="D7" s="1"/>
      <c r="E7" s="1"/>
      <c r="F7" s="1"/>
      <c r="G7" s="1"/>
      <c r="H7" t="str">
        <f t="shared" si="0"/>
        <v>INSERT INTO OLAP_SYS.CHISPAZO_RESULTADOS (FECHA_SORTEO,R1,R2,R3,R4,R5) VALUES ('',,,,,);</v>
      </c>
    </row>
    <row r="8" spans="1:8" x14ac:dyDescent="0.25">
      <c r="A8">
        <v>7111</v>
      </c>
      <c r="B8" s="7"/>
      <c r="C8" s="1"/>
      <c r="D8" s="1"/>
      <c r="E8" s="1"/>
      <c r="F8" s="1"/>
      <c r="G8" s="1"/>
      <c r="H8" t="str">
        <f t="shared" si="0"/>
        <v>INSERT INTO OLAP_SYS.CHISPAZO_RESULTADOS (FECHA_SORTEO,R1,R2,R3,R4,R5) VALUES ('',,,,,);</v>
      </c>
    </row>
    <row r="9" spans="1:8" x14ac:dyDescent="0.25">
      <c r="A9">
        <v>7112</v>
      </c>
      <c r="B9" s="7"/>
      <c r="C9" s="1"/>
      <c r="D9" s="1"/>
      <c r="E9" s="1"/>
      <c r="F9" s="1"/>
      <c r="G9" s="1"/>
      <c r="H9" t="str">
        <f t="shared" si="0"/>
        <v>INSERT INTO OLAP_SYS.CHISPAZO_RESULTADOS (FECHA_SORTEO,R1,R2,R3,R4,R5) VALUES ('',,,,,);</v>
      </c>
    </row>
    <row r="10" spans="1:8" x14ac:dyDescent="0.25">
      <c r="A10">
        <v>7113</v>
      </c>
      <c r="B10" s="7"/>
      <c r="C10" s="1"/>
      <c r="D10" s="1"/>
      <c r="E10" s="1"/>
      <c r="F10" s="1"/>
      <c r="G10" s="1"/>
      <c r="H10" t="str">
        <f t="shared" si="0"/>
        <v>INSERT INTO OLAP_SYS.CHISPAZO_RESULTADOS (FECHA_SORTEO,R1,R2,R3,R4,R5) VALUES ('',,,,,);</v>
      </c>
    </row>
    <row r="11" spans="1:8" x14ac:dyDescent="0.25">
      <c r="A11">
        <v>7114</v>
      </c>
      <c r="B11" s="7"/>
      <c r="C11" s="1"/>
      <c r="D11" s="1"/>
      <c r="E11" s="1"/>
      <c r="F11" s="1"/>
      <c r="G11" s="1"/>
      <c r="H11" t="str">
        <f>$H$1&amp;"'"&amp;B11&amp;"',"&amp;C11&amp;","&amp;D11&amp;","&amp;E11&amp;","&amp;F11&amp;","&amp;G11&amp;");"</f>
        <v>INSERT INTO OLAP_SYS.CHISPAZO_RESULTADOS (FECHA_SORTEO,R1,R2,R3,R4,R5) VALUES ('',,,,,);</v>
      </c>
    </row>
    <row r="12" spans="1:8" x14ac:dyDescent="0.25">
      <c r="A12">
        <v>7115</v>
      </c>
      <c r="B12" s="7"/>
      <c r="C12" s="1"/>
      <c r="D12" s="1"/>
      <c r="E12" s="1"/>
      <c r="F12" s="1"/>
      <c r="G12" s="1"/>
      <c r="H12" t="str">
        <f>$H$1&amp;"'"&amp;B12&amp;"',"&amp;C12&amp;","&amp;D12&amp;","&amp;E12&amp;","&amp;F12&amp;","&amp;G12&amp;");"</f>
        <v>INSERT INTO OLAP_SYS.CHISPAZO_RESULTADOS (FECHA_SORTEO,R1,R2,R3,R4,R5) VALUES ('',,,,,);</v>
      </c>
    </row>
    <row r="13" spans="1:8" x14ac:dyDescent="0.25">
      <c r="A13">
        <v>7116</v>
      </c>
      <c r="B13" s="7"/>
      <c r="C13" s="1"/>
      <c r="D13" s="1"/>
      <c r="E13" s="1"/>
      <c r="F13" s="1"/>
      <c r="G13" s="1"/>
      <c r="H13" t="str">
        <f>$H$1&amp;"'"&amp;B13&amp;"',"&amp;C13&amp;","&amp;D13&amp;","&amp;E13&amp;","&amp;F13&amp;","&amp;G13&amp;");"</f>
        <v>INSERT INTO OLAP_SYS.CHISPAZO_RESULTADOS (FECHA_SORTEO,R1,R2,R3,R4,R5) VALUES ('',,,,,);</v>
      </c>
    </row>
    <row r="14" spans="1:8" x14ac:dyDescent="0.25">
      <c r="A14">
        <v>7117</v>
      </c>
    </row>
    <row r="15" spans="1:8" x14ac:dyDescent="0.25">
      <c r="A15">
        <v>7118</v>
      </c>
    </row>
    <row r="16" spans="1:8" x14ac:dyDescent="0.25">
      <c r="A16">
        <v>7119</v>
      </c>
    </row>
    <row r="17" spans="1:1" x14ac:dyDescent="0.25">
      <c r="A17">
        <v>7120</v>
      </c>
    </row>
    <row r="18" spans="1:1" x14ac:dyDescent="0.25">
      <c r="A18">
        <v>7121</v>
      </c>
    </row>
    <row r="19" spans="1:1" x14ac:dyDescent="0.25">
      <c r="A19">
        <v>7122</v>
      </c>
    </row>
    <row r="20" spans="1:1" x14ac:dyDescent="0.25">
      <c r="A20">
        <v>7123</v>
      </c>
    </row>
    <row r="21" spans="1:1" x14ac:dyDescent="0.25">
      <c r="A21">
        <v>7124</v>
      </c>
    </row>
    <row r="22" spans="1:1" x14ac:dyDescent="0.25">
      <c r="A22">
        <v>7125</v>
      </c>
    </row>
    <row r="23" spans="1:1" x14ac:dyDescent="0.25">
      <c r="A23">
        <v>7126</v>
      </c>
    </row>
    <row r="24" spans="1:1" x14ac:dyDescent="0.25">
      <c r="A24">
        <v>7127</v>
      </c>
    </row>
  </sheetData>
  <pageMargins left="0.7" right="0.7" top="0.75" bottom="0.75" header="0.3" footer="0.3"/>
  <pageSetup orientation="portrait" horizontalDpi="4294967294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Template</vt:lpstr>
      <vt:lpstr>Insert Stmts</vt:lpstr>
      <vt:lpstr>MR Gigaloterias</vt:lpstr>
      <vt:lpstr>MR Insert Stmts</vt:lpstr>
      <vt:lpstr>LT Pattern History</vt:lpstr>
      <vt:lpstr>TodoJunto</vt:lpstr>
      <vt:lpstr>GL Terminacion LT por BType</vt:lpstr>
      <vt:lpstr>Chispazo Resultados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</dc:creator>
  <cp:lastModifiedBy>Ricardo Huerta</cp:lastModifiedBy>
  <dcterms:created xsi:type="dcterms:W3CDTF">2016-03-05T06:33:57Z</dcterms:created>
  <dcterms:modified xsi:type="dcterms:W3CDTF">2024-05-28T04:52:22Z</dcterms:modified>
</cp:coreProperties>
</file>